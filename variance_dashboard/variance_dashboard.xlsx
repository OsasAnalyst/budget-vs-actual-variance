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udjet vs actual variance\variance_dashboard\"/>
    </mc:Choice>
  </mc:AlternateContent>
  <xr:revisionPtr revIDLastSave="0" documentId="13_ncr:1_{9878140B-C6B8-4315-AB48-2A3E59E6FF7D}" xr6:coauthVersionLast="45" xr6:coauthVersionMax="45" xr10:uidLastSave="{00000000-0000-0000-0000-000000000000}"/>
  <bookViews>
    <workbookView xWindow="-120" yWindow="-120" windowWidth="20730" windowHeight="11310" firstSheet="2" activeTab="6" xr2:uid="{90F24FD3-6C14-430F-802D-F2D8AB619BB0}"/>
  </bookViews>
  <sheets>
    <sheet name="i_Setup" sheetId="6" r:id="rId1"/>
    <sheet name="i_Actuals" sheetId="2" r:id="rId2"/>
    <sheet name="i_Budget" sheetId="4" r:id="rId3"/>
    <sheet name="i_OpexActuals" sheetId="5" r:id="rId4"/>
    <sheet name="c_RevenuePVM" sheetId="7" r:id="rId5"/>
    <sheet name="c_OpexFlux" sheetId="8" r:id="rId6"/>
    <sheet name="o_Dashboard" sheetId="11" r:id="rId7"/>
    <sheet name="o_VarianceBridge" sheetId="9" r:id="rId8"/>
    <sheet name="o_FluxCommentary" sheetId="10" r:id="rId9"/>
  </sheets>
  <definedNames>
    <definedName name="_xlchart.v1.0" hidden="1">o_VarianceBridge!$A$4:$A$8</definedName>
    <definedName name="_xlchart.v1.1" hidden="1">o_VarianceBridge!$B$3</definedName>
    <definedName name="_xlchart.v1.2" hidden="1">o_VarianceBridge!$B$4:$B$8</definedName>
    <definedName name="CategoryMaster">c_RevenuePVM!$A$2:$A$75</definedName>
    <definedName name="ExternalData_1" localSheetId="1" hidden="1">i_Actuals!$A$1:$E$1274</definedName>
    <definedName name="ExternalData_1" localSheetId="2" hidden="1">i_Budget!$A$1:$G$457</definedName>
    <definedName name="ExternalData_1" localSheetId="3" hidden="1">i_OpexActuals!$A$1:$F$45</definedName>
    <definedName name="MonthList">i_Setup!$U$3:$U$14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1" l="1"/>
  <c r="D23" i="11" l="1"/>
  <c r="D13" i="11"/>
  <c r="D14" i="11"/>
  <c r="D15" i="11"/>
  <c r="D16" i="11"/>
  <c r="D17" i="11"/>
  <c r="D18" i="11"/>
  <c r="D19" i="11"/>
  <c r="D20" i="11"/>
  <c r="D21" i="11"/>
  <c r="D22" i="11"/>
  <c r="C13" i="11"/>
  <c r="C14" i="11"/>
  <c r="C15" i="11"/>
  <c r="C16" i="11"/>
  <c r="C17" i="11"/>
  <c r="C18" i="11"/>
  <c r="E18" i="11" s="1"/>
  <c r="C19" i="11"/>
  <c r="C20" i="11"/>
  <c r="C21" i="11"/>
  <c r="C22" i="11"/>
  <c r="C23" i="11"/>
  <c r="D12" i="11"/>
  <c r="C12" i="11"/>
  <c r="C10" i="6"/>
  <c r="G53" i="7" s="1"/>
  <c r="H5" i="10"/>
  <c r="H6" i="10"/>
  <c r="H7" i="10"/>
  <c r="G7" i="7" l="1"/>
  <c r="A10" i="9"/>
  <c r="C10" i="7"/>
  <c r="E19" i="11"/>
  <c r="E15" i="11"/>
  <c r="B51" i="7"/>
  <c r="C34" i="7"/>
  <c r="B6" i="7"/>
  <c r="B30" i="7"/>
  <c r="D44" i="7"/>
  <c r="E12" i="11"/>
  <c r="B74" i="7"/>
  <c r="B19" i="7"/>
  <c r="D23" i="7"/>
  <c r="E20" i="11"/>
  <c r="E16" i="11"/>
  <c r="B58" i="7"/>
  <c r="C54" i="7"/>
  <c r="E33" i="7"/>
  <c r="E23" i="11"/>
  <c r="F75" i="7"/>
  <c r="B1" i="10"/>
  <c r="B69" i="7"/>
  <c r="B43" i="7"/>
  <c r="C2" i="7"/>
  <c r="C13" i="7"/>
  <c r="E74" i="7"/>
  <c r="F43" i="7"/>
  <c r="B63" i="7"/>
  <c r="B37" i="7"/>
  <c r="K37" i="7" s="1"/>
  <c r="C65" i="7"/>
  <c r="D64" i="7"/>
  <c r="E54" i="7"/>
  <c r="F11" i="7"/>
  <c r="B2" i="7"/>
  <c r="B5" i="7"/>
  <c r="B73" i="7"/>
  <c r="B67" i="7"/>
  <c r="B62" i="7"/>
  <c r="B57" i="7"/>
  <c r="B49" i="7"/>
  <c r="B42" i="7"/>
  <c r="B35" i="7"/>
  <c r="B26" i="7"/>
  <c r="B15" i="7"/>
  <c r="C72" i="7"/>
  <c r="C61" i="7"/>
  <c r="C46" i="7"/>
  <c r="C26" i="7"/>
  <c r="C5" i="7"/>
  <c r="D56" i="7"/>
  <c r="D36" i="7"/>
  <c r="D15" i="7"/>
  <c r="E66" i="7"/>
  <c r="E46" i="7"/>
  <c r="E18" i="7"/>
  <c r="F60" i="7"/>
  <c r="F28" i="7"/>
  <c r="G70" i="7"/>
  <c r="G37" i="7"/>
  <c r="B9" i="7"/>
  <c r="B4" i="7"/>
  <c r="B71" i="7"/>
  <c r="B66" i="7"/>
  <c r="B61" i="7"/>
  <c r="B54" i="7"/>
  <c r="B47" i="7"/>
  <c r="B41" i="7"/>
  <c r="B33" i="7"/>
  <c r="B25" i="7"/>
  <c r="B14" i="7"/>
  <c r="C70" i="7"/>
  <c r="C60" i="7"/>
  <c r="C45" i="7"/>
  <c r="C22" i="7"/>
  <c r="D2" i="7"/>
  <c r="D55" i="7"/>
  <c r="D32" i="7"/>
  <c r="D12" i="7"/>
  <c r="E65" i="7"/>
  <c r="E42" i="7"/>
  <c r="E17" i="7"/>
  <c r="F59" i="7"/>
  <c r="F27" i="7"/>
  <c r="G69" i="7"/>
  <c r="G34" i="7"/>
  <c r="E17" i="11"/>
  <c r="E21" i="11"/>
  <c r="E13" i="11"/>
  <c r="B8" i="7"/>
  <c r="B75" i="7"/>
  <c r="B70" i="7"/>
  <c r="B65" i="7"/>
  <c r="B59" i="7"/>
  <c r="B53" i="7"/>
  <c r="B46" i="7"/>
  <c r="B38" i="7"/>
  <c r="B31" i="7"/>
  <c r="B21" i="7"/>
  <c r="B10" i="7"/>
  <c r="C66" i="7"/>
  <c r="C56" i="7"/>
  <c r="C37" i="7"/>
  <c r="C14" i="7"/>
  <c r="D68" i="7"/>
  <c r="D47" i="7"/>
  <c r="D24" i="7"/>
  <c r="D4" i="7"/>
  <c r="E57" i="7"/>
  <c r="E34" i="7"/>
  <c r="F2" i="7"/>
  <c r="F44" i="7"/>
  <c r="F12" i="7"/>
  <c r="G54" i="7"/>
  <c r="C7" i="8"/>
  <c r="G8" i="7"/>
  <c r="G29" i="7"/>
  <c r="G41" i="7"/>
  <c r="G49" i="7"/>
  <c r="G57" i="7"/>
  <c r="G65" i="7"/>
  <c r="G73" i="7"/>
  <c r="F7" i="7"/>
  <c r="F15" i="7"/>
  <c r="F23" i="7"/>
  <c r="F31" i="7"/>
  <c r="F39" i="7"/>
  <c r="F47" i="7"/>
  <c r="F55" i="7"/>
  <c r="F63" i="7"/>
  <c r="F71" i="7"/>
  <c r="E5" i="7"/>
  <c r="E13" i="7"/>
  <c r="E21" i="7"/>
  <c r="E29" i="7"/>
  <c r="E37" i="7"/>
  <c r="E45" i="7"/>
  <c r="E53" i="7"/>
  <c r="E61" i="7"/>
  <c r="E69" i="7"/>
  <c r="D3" i="7"/>
  <c r="D11" i="7"/>
  <c r="D19" i="7"/>
  <c r="D27" i="7"/>
  <c r="D35" i="7"/>
  <c r="D43" i="7"/>
  <c r="D51" i="7"/>
  <c r="D59" i="7"/>
  <c r="D67" i="7"/>
  <c r="D75" i="7"/>
  <c r="C9" i="7"/>
  <c r="C17" i="7"/>
  <c r="C25" i="7"/>
  <c r="C33" i="7"/>
  <c r="C41" i="7"/>
  <c r="C49" i="7"/>
  <c r="C55" i="7"/>
  <c r="C59" i="7"/>
  <c r="H59" i="7" s="1"/>
  <c r="C63" i="7"/>
  <c r="C67" i="7"/>
  <c r="C71" i="7"/>
  <c r="C75" i="7"/>
  <c r="B12" i="7"/>
  <c r="B16" i="7"/>
  <c r="B20" i="7"/>
  <c r="B24" i="7"/>
  <c r="B28" i="7"/>
  <c r="B32" i="7"/>
  <c r="B36" i="7"/>
  <c r="B40" i="7"/>
  <c r="B44" i="7"/>
  <c r="B48" i="7"/>
  <c r="B52" i="7"/>
  <c r="B56" i="7"/>
  <c r="B60" i="7"/>
  <c r="B64" i="7"/>
  <c r="B68" i="7"/>
  <c r="B72" i="7"/>
  <c r="B3" i="7"/>
  <c r="B7" i="7"/>
  <c r="G15" i="7"/>
  <c r="G33" i="7"/>
  <c r="G42" i="7"/>
  <c r="G50" i="7"/>
  <c r="G58" i="7"/>
  <c r="G66" i="7"/>
  <c r="G74" i="7"/>
  <c r="F8" i="7"/>
  <c r="F16" i="7"/>
  <c r="F24" i="7"/>
  <c r="F32" i="7"/>
  <c r="F40" i="7"/>
  <c r="F56" i="7"/>
  <c r="F64" i="7"/>
  <c r="F72" i="7"/>
  <c r="E6" i="7"/>
  <c r="E22" i="7"/>
  <c r="F48" i="7"/>
  <c r="E14" i="7"/>
  <c r="E30" i="7"/>
  <c r="B55" i="7"/>
  <c r="H55" i="7" s="1"/>
  <c r="B50" i="7"/>
  <c r="B45" i="7"/>
  <c r="L45" i="7" s="1"/>
  <c r="B39" i="7"/>
  <c r="B34" i="7"/>
  <c r="B29" i="7"/>
  <c r="B23" i="7"/>
  <c r="B18" i="7"/>
  <c r="B13" i="7"/>
  <c r="K13" i="7" s="1"/>
  <c r="C74" i="7"/>
  <c r="C69" i="7"/>
  <c r="L69" i="7" s="1"/>
  <c r="C64" i="7"/>
  <c r="H64" i="7" s="1"/>
  <c r="C58" i="7"/>
  <c r="H58" i="7" s="1"/>
  <c r="C53" i="7"/>
  <c r="C42" i="7"/>
  <c r="H42" i="7" s="1"/>
  <c r="C30" i="7"/>
  <c r="L30" i="7" s="1"/>
  <c r="C21" i="7"/>
  <c r="D72" i="7"/>
  <c r="D63" i="7"/>
  <c r="D52" i="7"/>
  <c r="D40" i="7"/>
  <c r="D31" i="7"/>
  <c r="D20" i="7"/>
  <c r="D8" i="7"/>
  <c r="E73" i="7"/>
  <c r="E62" i="7"/>
  <c r="E50" i="7"/>
  <c r="E41" i="7"/>
  <c r="E26" i="7"/>
  <c r="E10" i="7"/>
  <c r="F68" i="7"/>
  <c r="F52" i="7"/>
  <c r="F36" i="7"/>
  <c r="F20" i="7"/>
  <c r="F4" i="7"/>
  <c r="G62" i="7"/>
  <c r="G46" i="7"/>
  <c r="G24" i="7"/>
  <c r="E22" i="11"/>
  <c r="B27" i="7"/>
  <c r="B22" i="7"/>
  <c r="B17" i="7"/>
  <c r="B11" i="7"/>
  <c r="C73" i="7"/>
  <c r="H73" i="7" s="1"/>
  <c r="C68" i="7"/>
  <c r="C62" i="7"/>
  <c r="H62" i="7" s="1"/>
  <c r="C57" i="7"/>
  <c r="H57" i="7" s="1"/>
  <c r="C50" i="7"/>
  <c r="C38" i="7"/>
  <c r="C29" i="7"/>
  <c r="C18" i="7"/>
  <c r="H18" i="7" s="1"/>
  <c r="C6" i="7"/>
  <c r="L6" i="7" s="1"/>
  <c r="D71" i="7"/>
  <c r="D60" i="7"/>
  <c r="D48" i="7"/>
  <c r="D39" i="7"/>
  <c r="D28" i="7"/>
  <c r="D16" i="7"/>
  <c r="D7" i="7"/>
  <c r="E70" i="7"/>
  <c r="E58" i="7"/>
  <c r="E49" i="7"/>
  <c r="E38" i="7"/>
  <c r="E25" i="7"/>
  <c r="E9" i="7"/>
  <c r="F67" i="7"/>
  <c r="F51" i="7"/>
  <c r="F35" i="7"/>
  <c r="F19" i="7"/>
  <c r="F3" i="7"/>
  <c r="G61" i="7"/>
  <c r="G45" i="7"/>
  <c r="G23" i="7"/>
  <c r="G38" i="7"/>
  <c r="G30" i="7"/>
  <c r="G16" i="7"/>
  <c r="A1" i="9"/>
  <c r="G3" i="7"/>
  <c r="G11" i="7"/>
  <c r="G19" i="7"/>
  <c r="G27" i="7"/>
  <c r="G31" i="7"/>
  <c r="G35" i="7"/>
  <c r="G39" i="7"/>
  <c r="G43" i="7"/>
  <c r="G47" i="7"/>
  <c r="G51" i="7"/>
  <c r="G55" i="7"/>
  <c r="G59" i="7"/>
  <c r="G63" i="7"/>
  <c r="G67" i="7"/>
  <c r="G71" i="7"/>
  <c r="G75" i="7"/>
  <c r="F5" i="7"/>
  <c r="F9" i="7"/>
  <c r="F13" i="7"/>
  <c r="F17" i="7"/>
  <c r="F21" i="7"/>
  <c r="F25" i="7"/>
  <c r="F29" i="7"/>
  <c r="I29" i="7" s="1"/>
  <c r="F33" i="7"/>
  <c r="F37" i="7"/>
  <c r="F41" i="7"/>
  <c r="F45" i="7"/>
  <c r="I45" i="7" s="1"/>
  <c r="F49" i="7"/>
  <c r="F53" i="7"/>
  <c r="F57" i="7"/>
  <c r="I57" i="7" s="1"/>
  <c r="F61" i="7"/>
  <c r="F65" i="7"/>
  <c r="F69" i="7"/>
  <c r="F73" i="7"/>
  <c r="E3" i="7"/>
  <c r="E7" i="7"/>
  <c r="E11" i="7"/>
  <c r="E15" i="7"/>
  <c r="I15" i="7" s="1"/>
  <c r="E19" i="7"/>
  <c r="E23" i="7"/>
  <c r="J23" i="7" s="1"/>
  <c r="E27" i="7"/>
  <c r="E31" i="7"/>
  <c r="E35" i="7"/>
  <c r="J35" i="7" s="1"/>
  <c r="E39" i="7"/>
  <c r="E43" i="7"/>
  <c r="E47" i="7"/>
  <c r="E51" i="7"/>
  <c r="E55" i="7"/>
  <c r="J55" i="7" s="1"/>
  <c r="E59" i="7"/>
  <c r="E63" i="7"/>
  <c r="E67" i="7"/>
  <c r="E71" i="7"/>
  <c r="E75" i="7"/>
  <c r="D5" i="7"/>
  <c r="D9" i="7"/>
  <c r="D13" i="7"/>
  <c r="D17" i="7"/>
  <c r="D21" i="7"/>
  <c r="D25" i="7"/>
  <c r="D29" i="7"/>
  <c r="D33" i="7"/>
  <c r="D37" i="7"/>
  <c r="D41" i="7"/>
  <c r="D45" i="7"/>
  <c r="D49" i="7"/>
  <c r="D53" i="7"/>
  <c r="D57" i="7"/>
  <c r="D61" i="7"/>
  <c r="D65" i="7"/>
  <c r="D69" i="7"/>
  <c r="D73" i="7"/>
  <c r="C3" i="7"/>
  <c r="H3" i="7" s="1"/>
  <c r="C7" i="7"/>
  <c r="C11" i="7"/>
  <c r="C15" i="7"/>
  <c r="H15" i="7" s="1"/>
  <c r="C19" i="7"/>
  <c r="H19" i="7" s="1"/>
  <c r="C23" i="7"/>
  <c r="H23" i="7" s="1"/>
  <c r="C27" i="7"/>
  <c r="C31" i="7"/>
  <c r="H31" i="7" s="1"/>
  <c r="C35" i="7"/>
  <c r="H35" i="7" s="1"/>
  <c r="C39" i="7"/>
  <c r="C43" i="7"/>
  <c r="C47" i="7"/>
  <c r="C51" i="7"/>
  <c r="H51" i="7" s="1"/>
  <c r="G4" i="7"/>
  <c r="G12" i="7"/>
  <c r="G20" i="7"/>
  <c r="G28" i="7"/>
  <c r="G32" i="7"/>
  <c r="G36" i="7"/>
  <c r="G40" i="7"/>
  <c r="G44" i="7"/>
  <c r="G48" i="7"/>
  <c r="G52" i="7"/>
  <c r="G56" i="7"/>
  <c r="G60" i="7"/>
  <c r="G64" i="7"/>
  <c r="G68" i="7"/>
  <c r="G72" i="7"/>
  <c r="G2" i="7"/>
  <c r="F6" i="7"/>
  <c r="F10" i="7"/>
  <c r="F14" i="7"/>
  <c r="F18" i="7"/>
  <c r="F22" i="7"/>
  <c r="F26" i="7"/>
  <c r="F30" i="7"/>
  <c r="I30" i="7" s="1"/>
  <c r="F34" i="7"/>
  <c r="F38" i="7"/>
  <c r="F42" i="7"/>
  <c r="F46" i="7"/>
  <c r="F50" i="7"/>
  <c r="F54" i="7"/>
  <c r="I54" i="7" s="1"/>
  <c r="F58" i="7"/>
  <c r="F62" i="7"/>
  <c r="F66" i="7"/>
  <c r="I66" i="7" s="1"/>
  <c r="F70" i="7"/>
  <c r="F74" i="7"/>
  <c r="E4" i="7"/>
  <c r="E8" i="7"/>
  <c r="I8" i="7" s="1"/>
  <c r="E12" i="7"/>
  <c r="J12" i="7" s="1"/>
  <c r="E16" i="7"/>
  <c r="J16" i="7" s="1"/>
  <c r="E20" i="7"/>
  <c r="J20" i="7" s="1"/>
  <c r="E24" i="7"/>
  <c r="E28" i="7"/>
  <c r="E32" i="7"/>
  <c r="E36" i="7"/>
  <c r="J36" i="7" s="1"/>
  <c r="E40" i="7"/>
  <c r="E44" i="7"/>
  <c r="J44" i="7" s="1"/>
  <c r="E48" i="7"/>
  <c r="E52" i="7"/>
  <c r="J52" i="7" s="1"/>
  <c r="E56" i="7"/>
  <c r="E60" i="7"/>
  <c r="J60" i="7" s="1"/>
  <c r="E64" i="7"/>
  <c r="E68" i="7"/>
  <c r="J68" i="7" s="1"/>
  <c r="E72" i="7"/>
  <c r="E2" i="7"/>
  <c r="J2" i="7" s="1"/>
  <c r="D6" i="7"/>
  <c r="D10" i="7"/>
  <c r="D14" i="7"/>
  <c r="D18" i="7"/>
  <c r="D22" i="7"/>
  <c r="D26" i="7"/>
  <c r="D30" i="7"/>
  <c r="D34" i="7"/>
  <c r="D38" i="7"/>
  <c r="D42" i="7"/>
  <c r="D46" i="7"/>
  <c r="D50" i="7"/>
  <c r="D54" i="7"/>
  <c r="D58" i="7"/>
  <c r="D62" i="7"/>
  <c r="D66" i="7"/>
  <c r="D70" i="7"/>
  <c r="D74" i="7"/>
  <c r="C4" i="7"/>
  <c r="L4" i="7" s="1"/>
  <c r="C8" i="7"/>
  <c r="C12" i="7"/>
  <c r="H12" i="7" s="1"/>
  <c r="C16" i="7"/>
  <c r="H16" i="7" s="1"/>
  <c r="C20" i="7"/>
  <c r="H20" i="7" s="1"/>
  <c r="C24" i="7"/>
  <c r="C28" i="7"/>
  <c r="L28" i="7" s="1"/>
  <c r="C32" i="7"/>
  <c r="H32" i="7" s="1"/>
  <c r="C36" i="7"/>
  <c r="L36" i="7" s="1"/>
  <c r="C40" i="7"/>
  <c r="C44" i="7"/>
  <c r="L44" i="7" s="1"/>
  <c r="C48" i="7"/>
  <c r="H48" i="7" s="1"/>
  <c r="C52" i="7"/>
  <c r="L52" i="7" s="1"/>
  <c r="G26" i="7"/>
  <c r="G22" i="7"/>
  <c r="G18" i="7"/>
  <c r="G14" i="7"/>
  <c r="G10" i="7"/>
  <c r="G6" i="7"/>
  <c r="B4" i="8"/>
  <c r="G25" i="7"/>
  <c r="G21" i="7"/>
  <c r="I21" i="7" s="1"/>
  <c r="G17" i="7"/>
  <c r="G13" i="7"/>
  <c r="G9" i="7"/>
  <c r="G5" i="7"/>
  <c r="I5" i="7" s="1"/>
  <c r="B7" i="8"/>
  <c r="D7" i="8" s="1"/>
  <c r="B16" i="9" s="1"/>
  <c r="B6" i="8"/>
  <c r="C6" i="8"/>
  <c r="B1" i="8"/>
  <c r="B5" i="8"/>
  <c r="C5" i="8"/>
  <c r="C4" i="8"/>
  <c r="H74" i="7"/>
  <c r="H70" i="7"/>
  <c r="H66" i="7"/>
  <c r="H54" i="7"/>
  <c r="H46" i="7"/>
  <c r="H38" i="7"/>
  <c r="H26" i="7"/>
  <c r="H22" i="7"/>
  <c r="H14" i="7"/>
  <c r="H69" i="7"/>
  <c r="H65" i="7"/>
  <c r="H61" i="7"/>
  <c r="H53" i="7"/>
  <c r="H49" i="7"/>
  <c r="H45" i="7"/>
  <c r="H41" i="7"/>
  <c r="H37" i="7"/>
  <c r="H68" i="7"/>
  <c r="H60" i="7"/>
  <c r="H71" i="7"/>
  <c r="H67" i="7"/>
  <c r="H63" i="7"/>
  <c r="H43" i="7"/>
  <c r="H10" i="7"/>
  <c r="H6" i="7"/>
  <c r="L67" i="7"/>
  <c r="L59" i="7"/>
  <c r="L43" i="7"/>
  <c r="J43" i="7"/>
  <c r="L9" i="7"/>
  <c r="J5" i="7"/>
  <c r="L5" i="7"/>
  <c r="H25" i="7"/>
  <c r="H17" i="7"/>
  <c r="H9" i="7"/>
  <c r="H5" i="7"/>
  <c r="L46" i="7"/>
  <c r="L14" i="7"/>
  <c r="J65" i="7"/>
  <c r="I65" i="7"/>
  <c r="L65" i="7"/>
  <c r="M65" i="7" s="1"/>
  <c r="N65" i="7" s="1"/>
  <c r="J61" i="7"/>
  <c r="I61" i="7"/>
  <c r="L61" i="7"/>
  <c r="L57" i="7"/>
  <c r="L53" i="7"/>
  <c r="L49" i="7"/>
  <c r="L41" i="7"/>
  <c r="J37" i="7"/>
  <c r="I37" i="7"/>
  <c r="L37" i="7"/>
  <c r="J25" i="7"/>
  <c r="I25" i="7"/>
  <c r="L25" i="7"/>
  <c r="L13" i="7"/>
  <c r="L2" i="7"/>
  <c r="K65" i="7"/>
  <c r="L74" i="7"/>
  <c r="L42" i="7"/>
  <c r="L26" i="7"/>
  <c r="L10" i="7"/>
  <c r="I73" i="7"/>
  <c r="L68" i="7"/>
  <c r="I64" i="7"/>
  <c r="K64" i="7"/>
  <c r="L60" i="7"/>
  <c r="L56" i="7"/>
  <c r="I16" i="7"/>
  <c r="H11" i="7"/>
  <c r="I43" i="7"/>
  <c r="K61" i="7"/>
  <c r="L70" i="7"/>
  <c r="L54" i="7"/>
  <c r="L38" i="7"/>
  <c r="L22" i="7"/>
  <c r="L71" i="7"/>
  <c r="J71" i="7"/>
  <c r="L63" i="7"/>
  <c r="L11" i="7"/>
  <c r="H2" i="7"/>
  <c r="I23" i="7"/>
  <c r="J64" i="7"/>
  <c r="K25" i="7"/>
  <c r="L66" i="7"/>
  <c r="L18" i="7"/>
  <c r="H33" i="7" l="1"/>
  <c r="M61" i="7"/>
  <c r="N61" i="7" s="1"/>
  <c r="J33" i="7"/>
  <c r="J21" i="7"/>
  <c r="I49" i="7"/>
  <c r="L29" i="7"/>
  <c r="I20" i="7"/>
  <c r="I68" i="7"/>
  <c r="L19" i="7"/>
  <c r="I60" i="7"/>
  <c r="L3" i="7"/>
  <c r="J39" i="7"/>
  <c r="L62" i="7"/>
  <c r="J42" i="7"/>
  <c r="L47" i="7"/>
  <c r="J32" i="7"/>
  <c r="I42" i="7"/>
  <c r="L51" i="7"/>
  <c r="K16" i="7"/>
  <c r="L35" i="7"/>
  <c r="H75" i="7"/>
  <c r="H21" i="7"/>
  <c r="K21" i="7" s="1"/>
  <c r="L20" i="7"/>
  <c r="J49" i="7"/>
  <c r="I75" i="7"/>
  <c r="H4" i="7"/>
  <c r="M4" i="7" s="1"/>
  <c r="N4" i="7" s="1"/>
  <c r="J14" i="7"/>
  <c r="I40" i="7"/>
  <c r="J3" i="7"/>
  <c r="J29" i="7"/>
  <c r="L23" i="7"/>
  <c r="M23" i="7" s="1"/>
  <c r="N23" i="7" s="1"/>
  <c r="I18" i="7"/>
  <c r="M11" i="7"/>
  <c r="N11" i="7" s="1"/>
  <c r="M25" i="7"/>
  <c r="N25" i="7" s="1"/>
  <c r="H47" i="7"/>
  <c r="M47" i="7" s="1"/>
  <c r="H36" i="7"/>
  <c r="J54" i="7"/>
  <c r="K54" i="7" s="1"/>
  <c r="I58" i="7"/>
  <c r="J7" i="7"/>
  <c r="I50" i="7"/>
  <c r="J6" i="7"/>
  <c r="I7" i="7"/>
  <c r="L64" i="7"/>
  <c r="M64" i="7" s="1"/>
  <c r="N64" i="7" s="1"/>
  <c r="J73" i="7"/>
  <c r="J57" i="7"/>
  <c r="K57" i="7" s="1"/>
  <c r="J9" i="7"/>
  <c r="I67" i="7"/>
  <c r="I51" i="7"/>
  <c r="J15" i="7"/>
  <c r="K15" i="7" s="1"/>
  <c r="H30" i="7"/>
  <c r="I38" i="7"/>
  <c r="H39" i="7"/>
  <c r="H7" i="7"/>
  <c r="I9" i="7"/>
  <c r="K9" i="7" s="1"/>
  <c r="J8" i="7"/>
  <c r="I14" i="7"/>
  <c r="J66" i="7"/>
  <c r="K66" i="7" s="1"/>
  <c r="J50" i="7"/>
  <c r="J18" i="7"/>
  <c r="K18" i="7" s="1"/>
  <c r="I44" i="7"/>
  <c r="I28" i="7"/>
  <c r="I35" i="7"/>
  <c r="J24" i="7"/>
  <c r="M5" i="7"/>
  <c r="N5" i="7" s="1"/>
  <c r="M74" i="7"/>
  <c r="J38" i="7"/>
  <c r="J22" i="7"/>
  <c r="I6" i="7"/>
  <c r="I22" i="7"/>
  <c r="J58" i="7"/>
  <c r="K58" i="7" s="1"/>
  <c r="J26" i="7"/>
  <c r="I4" i="7"/>
  <c r="J62" i="7"/>
  <c r="J46" i="7"/>
  <c r="J19" i="7"/>
  <c r="I71" i="7"/>
  <c r="K71" i="7" s="1"/>
  <c r="I39" i="7"/>
  <c r="K39" i="7" s="1"/>
  <c r="I19" i="7"/>
  <c r="L32" i="7"/>
  <c r="M32" i="7" s="1"/>
  <c r="N32" i="7" s="1"/>
  <c r="H52" i="7"/>
  <c r="J30" i="7"/>
  <c r="H29" i="7"/>
  <c r="K29" i="7" s="1"/>
  <c r="J17" i="7"/>
  <c r="I33" i="7"/>
  <c r="K33" i="7" s="1"/>
  <c r="I72" i="7"/>
  <c r="J56" i="7"/>
  <c r="J63" i="7"/>
  <c r="I41" i="7"/>
  <c r="I59" i="7"/>
  <c r="H50" i="7"/>
  <c r="I62" i="7"/>
  <c r="I52" i="7"/>
  <c r="J41" i="7"/>
  <c r="L7" i="7"/>
  <c r="L17" i="7"/>
  <c r="I48" i="7"/>
  <c r="L40" i="7"/>
  <c r="I53" i="7"/>
  <c r="J47" i="7"/>
  <c r="H56" i="7"/>
  <c r="M56" i="7" s="1"/>
  <c r="N56" i="7" s="1"/>
  <c r="L31" i="7"/>
  <c r="M31" i="7" s="1"/>
  <c r="N31" i="7" s="1"/>
  <c r="L39" i="7"/>
  <c r="I17" i="7"/>
  <c r="K17" i="7" s="1"/>
  <c r="J45" i="7"/>
  <c r="K45" i="7" s="1"/>
  <c r="H27" i="7"/>
  <c r="H13" i="7"/>
  <c r="M13" i="7" s="1"/>
  <c r="N13" i="7" s="1"/>
  <c r="J48" i="7"/>
  <c r="J74" i="7"/>
  <c r="I26" i="7"/>
  <c r="M6" i="7"/>
  <c r="L34" i="7"/>
  <c r="I13" i="7"/>
  <c r="L21" i="7"/>
  <c r="M21" i="7" s="1"/>
  <c r="I46" i="7"/>
  <c r="K46" i="7" s="1"/>
  <c r="L27" i="7"/>
  <c r="J67" i="7"/>
  <c r="J40" i="7"/>
  <c r="I63" i="7"/>
  <c r="L50" i="7"/>
  <c r="L58" i="7"/>
  <c r="M58" i="7" s="1"/>
  <c r="J13" i="7"/>
  <c r="J51" i="7"/>
  <c r="K51" i="7" s="1"/>
  <c r="I3" i="7"/>
  <c r="H40" i="7"/>
  <c r="H24" i="7"/>
  <c r="L8" i="7"/>
  <c r="I12" i="7"/>
  <c r="K12" i="7" s="1"/>
  <c r="I32" i="7"/>
  <c r="J75" i="7"/>
  <c r="K75" i="7" s="1"/>
  <c r="J59" i="7"/>
  <c r="J27" i="7"/>
  <c r="J11" i="7"/>
  <c r="J69" i="7"/>
  <c r="J53" i="7"/>
  <c r="L55" i="7"/>
  <c r="M55" i="7" s="1"/>
  <c r="J4" i="7"/>
  <c r="I56" i="7"/>
  <c r="L72" i="7"/>
  <c r="I34" i="7"/>
  <c r="J72" i="7"/>
  <c r="H72" i="7"/>
  <c r="H34" i="7"/>
  <c r="I55" i="7"/>
  <c r="K55" i="7" s="1"/>
  <c r="J31" i="7"/>
  <c r="I36" i="7"/>
  <c r="K36" i="7" s="1"/>
  <c r="L33" i="7"/>
  <c r="M33" i="7" s="1"/>
  <c r="N33" i="7" s="1"/>
  <c r="J34" i="7"/>
  <c r="M67" i="7"/>
  <c r="E76" i="7"/>
  <c r="B76" i="7"/>
  <c r="B4" i="9" s="1"/>
  <c r="L15" i="7"/>
  <c r="M15" i="7" s="1"/>
  <c r="N15" i="7" s="1"/>
  <c r="I24" i="7"/>
  <c r="L73" i="7"/>
  <c r="M73" i="7" s="1"/>
  <c r="M35" i="7"/>
  <c r="N35" i="7" s="1"/>
  <c r="M51" i="7"/>
  <c r="L75" i="7"/>
  <c r="K26" i="7"/>
  <c r="F5" i="8"/>
  <c r="J70" i="7"/>
  <c r="I27" i="7"/>
  <c r="I69" i="7"/>
  <c r="I2" i="7"/>
  <c r="K2" i="7" s="1"/>
  <c r="I74" i="7"/>
  <c r="K74" i="7" s="1"/>
  <c r="J28" i="7"/>
  <c r="H44" i="7"/>
  <c r="M44" i="7" s="1"/>
  <c r="L24" i="7"/>
  <c r="H28" i="7"/>
  <c r="M28" i="7" s="1"/>
  <c r="K68" i="7"/>
  <c r="D4" i="8"/>
  <c r="B13" i="9" s="1"/>
  <c r="F6" i="8"/>
  <c r="J10" i="7"/>
  <c r="I11" i="7"/>
  <c r="I47" i="7"/>
  <c r="K47" i="7" s="1"/>
  <c r="I31" i="7"/>
  <c r="K31" i="7" s="1"/>
  <c r="I10" i="7"/>
  <c r="K10" i="7" s="1"/>
  <c r="C76" i="7"/>
  <c r="B8" i="9" s="1"/>
  <c r="M45" i="7"/>
  <c r="M14" i="7"/>
  <c r="N14" i="7" s="1"/>
  <c r="M66" i="7"/>
  <c r="L12" i="7"/>
  <c r="M12" i="7" s="1"/>
  <c r="N12" i="7" s="1"/>
  <c r="L48" i="7"/>
  <c r="M48" i="7" s="1"/>
  <c r="N48" i="7" s="1"/>
  <c r="I70" i="7"/>
  <c r="K70" i="7" s="1"/>
  <c r="M60" i="7"/>
  <c r="N60" i="7" s="1"/>
  <c r="M62" i="7"/>
  <c r="M20" i="7"/>
  <c r="M10" i="7"/>
  <c r="H8" i="7"/>
  <c r="M29" i="7"/>
  <c r="N29" i="7" s="1"/>
  <c r="M63" i="7"/>
  <c r="M54" i="7"/>
  <c r="N54" i="7" s="1"/>
  <c r="M26" i="7"/>
  <c r="M41" i="7"/>
  <c r="M57" i="7"/>
  <c r="N57" i="7" s="1"/>
  <c r="D76" i="7"/>
  <c r="L16" i="7"/>
  <c r="M16" i="7" s="1"/>
  <c r="M30" i="7"/>
  <c r="F4" i="8"/>
  <c r="K73" i="7"/>
  <c r="F7" i="8"/>
  <c r="M37" i="7"/>
  <c r="N37" i="7" s="1"/>
  <c r="K42" i="7"/>
  <c r="E7" i="8"/>
  <c r="M46" i="7"/>
  <c r="D6" i="8"/>
  <c r="M70" i="7"/>
  <c r="M22" i="7"/>
  <c r="M42" i="7"/>
  <c r="M53" i="7"/>
  <c r="M69" i="7"/>
  <c r="M43" i="7"/>
  <c r="N43" i="7" s="1"/>
  <c r="M59" i="7"/>
  <c r="M71" i="7"/>
  <c r="N71" i="7" s="1"/>
  <c r="M38" i="7"/>
  <c r="M40" i="7"/>
  <c r="N40" i="7" s="1"/>
  <c r="M17" i="7"/>
  <c r="D5" i="8"/>
  <c r="B14" i="9" s="1"/>
  <c r="M68" i="7"/>
  <c r="K49" i="7"/>
  <c r="K23" i="7"/>
  <c r="M2" i="7"/>
  <c r="M18" i="7"/>
  <c r="K20" i="7"/>
  <c r="M36" i="7"/>
  <c r="M52" i="7"/>
  <c r="M3" i="7"/>
  <c r="N3" i="7" s="1"/>
  <c r="M49" i="7"/>
  <c r="M9" i="7"/>
  <c r="M19" i="7"/>
  <c r="K43" i="7"/>
  <c r="K32" i="7"/>
  <c r="K5" i="7"/>
  <c r="K35" i="7"/>
  <c r="K52" i="7"/>
  <c r="K60" i="7"/>
  <c r="K19" i="7" l="1"/>
  <c r="K38" i="7"/>
  <c r="K27" i="7"/>
  <c r="K59" i="7"/>
  <c r="M75" i="7"/>
  <c r="M27" i="7"/>
  <c r="N27" i="7" s="1"/>
  <c r="E4" i="8"/>
  <c r="G4" i="8" s="1"/>
  <c r="A4" i="10" s="1"/>
  <c r="K53" i="7"/>
  <c r="K30" i="7"/>
  <c r="K4" i="7"/>
  <c r="K63" i="7"/>
  <c r="K22" i="7"/>
  <c r="K67" i="7"/>
  <c r="M7" i="7"/>
  <c r="N49" i="7" s="1"/>
  <c r="K8" i="7"/>
  <c r="K40" i="7"/>
  <c r="K48" i="7"/>
  <c r="K41" i="7"/>
  <c r="K6" i="7"/>
  <c r="K7" i="7"/>
  <c r="K28" i="7"/>
  <c r="K3" i="7"/>
  <c r="K62" i="7"/>
  <c r="K14" i="7"/>
  <c r="K11" i="7"/>
  <c r="K72" i="7"/>
  <c r="K56" i="7"/>
  <c r="K69" i="7"/>
  <c r="M39" i="7"/>
  <c r="N39" i="7" s="1"/>
  <c r="M50" i="7"/>
  <c r="J76" i="7"/>
  <c r="B6" i="9" s="1"/>
  <c r="K24" i="7"/>
  <c r="K50" i="7"/>
  <c r="K44" i="7"/>
  <c r="M24" i="7"/>
  <c r="K34" i="7"/>
  <c r="N6" i="7"/>
  <c r="E5" i="8"/>
  <c r="M34" i="7"/>
  <c r="N34" i="7" s="1"/>
  <c r="M72" i="7"/>
  <c r="I76" i="7"/>
  <c r="B5" i="9" s="1"/>
  <c r="G5" i="8"/>
  <c r="C5" i="10" s="1"/>
  <c r="M8" i="7"/>
  <c r="N59" i="7" s="1"/>
  <c r="H76" i="7"/>
  <c r="B7" i="11" s="1"/>
  <c r="B8" i="11" s="1"/>
  <c r="N2" i="7"/>
  <c r="G7" i="8"/>
  <c r="E7" i="10" s="1"/>
  <c r="N9" i="7"/>
  <c r="B15" i="9"/>
  <c r="E6" i="8"/>
  <c r="G6" i="8" s="1"/>
  <c r="N55" i="7"/>
  <c r="D7" i="11"/>
  <c r="N7" i="7"/>
  <c r="N36" i="7"/>
  <c r="N74" i="7" l="1"/>
  <c r="D4" i="10"/>
  <c r="E4" i="10"/>
  <c r="B4" i="10"/>
  <c r="C4" i="10"/>
  <c r="A5" i="10"/>
  <c r="E5" i="10"/>
  <c r="B5" i="10"/>
  <c r="G5" i="10"/>
  <c r="G4" i="10"/>
  <c r="F4" i="10"/>
  <c r="N38" i="7"/>
  <c r="N42" i="7"/>
  <c r="N53" i="7"/>
  <c r="N20" i="7"/>
  <c r="N62" i="7"/>
  <c r="N24" i="7"/>
  <c r="N47" i="7"/>
  <c r="N73" i="7"/>
  <c r="N69" i="7"/>
  <c r="D5" i="10"/>
  <c r="F5" i="10"/>
  <c r="A7" i="10"/>
  <c r="N58" i="7"/>
  <c r="K76" i="7"/>
  <c r="N76" i="7" s="1"/>
  <c r="N41" i="7"/>
  <c r="N44" i="7"/>
  <c r="N72" i="7"/>
  <c r="N26" i="7"/>
  <c r="N52" i="7"/>
  <c r="N10" i="7"/>
  <c r="N21" i="7"/>
  <c r="N46" i="7"/>
  <c r="N68" i="7"/>
  <c r="N30" i="7"/>
  <c r="N22" i="7"/>
  <c r="N17" i="7"/>
  <c r="N18" i="7"/>
  <c r="N50" i="7"/>
  <c r="N70" i="7"/>
  <c r="C7" i="10"/>
  <c r="D7" i="10"/>
  <c r="H7" i="11"/>
  <c r="N28" i="7"/>
  <c r="F7" i="11"/>
  <c r="N45" i="7"/>
  <c r="N19" i="7"/>
  <c r="N67" i="7"/>
  <c r="N75" i="7"/>
  <c r="N51" i="7"/>
  <c r="N66" i="7"/>
  <c r="N8" i="7"/>
  <c r="N63" i="7"/>
  <c r="G7" i="10"/>
  <c r="B7" i="10"/>
  <c r="N16" i="7"/>
  <c r="F7" i="10"/>
  <c r="A6" i="10"/>
  <c r="G6" i="10"/>
  <c r="D6" i="10"/>
  <c r="C6" i="10"/>
  <c r="E6" i="10"/>
  <c r="F6" i="10"/>
  <c r="B6" i="10"/>
  <c r="B8" i="10"/>
  <c r="A8" i="10" s="1"/>
  <c r="B10" i="10" l="1"/>
  <c r="C10" i="10" s="1"/>
  <c r="B7" i="9"/>
  <c r="B12" i="10"/>
  <c r="D12" i="10" s="1"/>
  <c r="D8" i="10"/>
  <c r="B15" i="10"/>
  <c r="D15" i="10" s="1"/>
  <c r="B11" i="10"/>
  <c r="C11" i="10" s="1"/>
  <c r="B13" i="10"/>
  <c r="D13" i="10" s="1"/>
  <c r="C8" i="10"/>
  <c r="B14" i="10"/>
  <c r="D14" i="10" s="1"/>
  <c r="B9" i="10"/>
  <c r="B19" i="10"/>
  <c r="C19" i="10" s="1"/>
  <c r="B20" i="10"/>
  <c r="D20" i="10" s="1"/>
  <c r="B26" i="10"/>
  <c r="D26" i="10" s="1"/>
  <c r="A12" i="10"/>
  <c r="A11" i="10"/>
  <c r="B25" i="10"/>
  <c r="D25" i="10" s="1"/>
  <c r="B17" i="10"/>
  <c r="A17" i="10" s="1"/>
  <c r="B27" i="10"/>
  <c r="C27" i="10" s="1"/>
  <c r="B30" i="10"/>
  <c r="C30" i="10" s="1"/>
  <c r="A15" i="10"/>
  <c r="C12" i="10"/>
  <c r="E12" i="10" s="1"/>
  <c r="G12" i="10" s="1"/>
  <c r="D11" i="10"/>
  <c r="E11" i="10" s="1"/>
  <c r="G11" i="10" s="1"/>
  <c r="B22" i="10"/>
  <c r="B16" i="10"/>
  <c r="B24" i="10"/>
  <c r="B28" i="10"/>
  <c r="B29" i="10"/>
  <c r="B18" i="10"/>
  <c r="B23" i="10"/>
  <c r="B21" i="10"/>
  <c r="C13" i="10"/>
  <c r="E13" i="10" s="1"/>
  <c r="G13" i="10" s="1"/>
  <c r="D27" i="10"/>
  <c r="E27" i="10" s="1"/>
  <c r="G27" i="10" s="1"/>
  <c r="D10" i="10" l="1"/>
  <c r="E10" i="10" s="1"/>
  <c r="G10" i="10" s="1"/>
  <c r="A10" i="10"/>
  <c r="E8" i="10"/>
  <c r="G8" i="10" s="1"/>
  <c r="C15" i="10"/>
  <c r="E15" i="10" s="1"/>
  <c r="G15" i="10" s="1"/>
  <c r="A13" i="10"/>
  <c r="A30" i="10"/>
  <c r="A14" i="10"/>
  <c r="C14" i="10"/>
  <c r="E14" i="10" s="1"/>
  <c r="A20" i="10"/>
  <c r="A27" i="10"/>
  <c r="C20" i="10"/>
  <c r="D9" i="10"/>
  <c r="E9" i="10" s="1"/>
  <c r="G9" i="10" s="1"/>
  <c r="A9" i="10"/>
  <c r="C9" i="10"/>
  <c r="E20" i="10"/>
  <c r="F20" i="10" s="1"/>
  <c r="D19" i="10"/>
  <c r="E19" i="10" s="1"/>
  <c r="F19" i="10" s="1"/>
  <c r="A19" i="10"/>
  <c r="D30" i="10"/>
  <c r="E30" i="10" s="1"/>
  <c r="G30" i="10" s="1"/>
  <c r="F8" i="10"/>
  <c r="C26" i="10"/>
  <c r="E26" i="10" s="1"/>
  <c r="A26" i="10"/>
  <c r="A21" i="10"/>
  <c r="D21" i="10"/>
  <c r="C21" i="10"/>
  <c r="D22" i="10"/>
  <c r="C22" i="10"/>
  <c r="A22" i="10"/>
  <c r="D17" i="10"/>
  <c r="C17" i="10"/>
  <c r="C23" i="10"/>
  <c r="D23" i="10"/>
  <c r="A23" i="10"/>
  <c r="D28" i="10"/>
  <c r="C28" i="10"/>
  <c r="A28" i="10"/>
  <c r="C25" i="10"/>
  <c r="E25" i="10" s="1"/>
  <c r="A25" i="10"/>
  <c r="C18" i="10"/>
  <c r="D18" i="10"/>
  <c r="A18" i="10"/>
  <c r="A24" i="10"/>
  <c r="D24" i="10"/>
  <c r="C24" i="10"/>
  <c r="D29" i="10"/>
  <c r="C29" i="10"/>
  <c r="A29" i="10"/>
  <c r="D16" i="10"/>
  <c r="C16" i="10"/>
  <c r="A16" i="10"/>
  <c r="G20" i="10"/>
  <c r="F12" i="10"/>
  <c r="F11" i="10"/>
  <c r="F13" i="10"/>
  <c r="F27" i="10"/>
  <c r="F30" i="10"/>
  <c r="F15" i="10" l="1"/>
  <c r="F10" i="10"/>
  <c r="G19" i="10"/>
  <c r="E18" i="10"/>
  <c r="G18" i="10" s="1"/>
  <c r="E28" i="10"/>
  <c r="G28" i="10" s="1"/>
  <c r="E22" i="10"/>
  <c r="G22" i="10" s="1"/>
  <c r="E21" i="10"/>
  <c r="G21" i="10" s="1"/>
  <c r="G14" i="10"/>
  <c r="F14" i="10"/>
  <c r="F9" i="10"/>
  <c r="E24" i="10"/>
  <c r="G24" i="10" s="1"/>
  <c r="E29" i="10"/>
  <c r="G29" i="10" s="1"/>
  <c r="G26" i="10"/>
  <c r="F26" i="10"/>
  <c r="E16" i="10"/>
  <c r="G16" i="10" s="1"/>
  <c r="E17" i="10"/>
  <c r="G17" i="10" s="1"/>
  <c r="G25" i="10"/>
  <c r="F25" i="10"/>
  <c r="E23" i="10"/>
  <c r="G23" i="10" s="1"/>
  <c r="F18" i="10" l="1"/>
  <c r="F21" i="10"/>
  <c r="F22" i="10"/>
  <c r="F28" i="10"/>
  <c r="F23" i="10"/>
  <c r="F16" i="10"/>
  <c r="F29" i="10"/>
  <c r="F17" i="10"/>
  <c r="F2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41543-CA19-4AFC-A611-28856AF218B0}" keepAlive="1" name="Query - budget_assumptions" description="Connection to the 'budget_assumptions' query in the workbook." type="5" refreshedVersion="6" background="1" saveData="1">
    <dbPr connection="Provider=Microsoft.Mashup.OleDb.1;Data Source=$Workbook$;Location=budget_assumptions;Extended Properties=&quot;&quot;" command="SELECT * FROM [budget_assumptions]"/>
  </connection>
  <connection id="2" xr16:uid="{81EA44FC-A3F3-4CF6-9E3A-C4DDD8B97E16}" keepAlive="1" name="Query - monthly_actuals_by_category" description="Connection to the 'monthly_actuals_by_category' query in the workbook." type="5" refreshedVersion="6" background="1" saveData="1">
    <dbPr connection="Provider=Microsoft.Mashup.OleDb.1;Data Source=$Workbook$;Location=monthly_actuals_by_category;Extended Properties=&quot;&quot;" command="SELECT * FROM [monthly_actuals_by_category]"/>
  </connection>
  <connection id="3" xr16:uid="{4A063D93-74A8-4AA3-BC58-12C2316D4B16}" keepAlive="1" name="Query - opex_actuals_simulation" description="Connection to the 'opex_actuals_simulation' query in the workbook." type="5" refreshedVersion="6" background="1" saveData="1">
    <dbPr connection="Provider=Microsoft.Mashup.OleDb.1;Data Source=$Workbook$;Location=opex_actuals_simulation;Extended Properties=&quot;&quot;" command="SELECT * FROM [opex_actuals_simulation]"/>
  </connection>
</connections>
</file>

<file path=xl/sharedStrings.xml><?xml version="1.0" encoding="utf-8"?>
<sst xmlns="http://schemas.openxmlformats.org/spreadsheetml/2006/main" count="2399" uniqueCount="156">
  <si>
    <t>month</t>
  </si>
  <si>
    <t>category</t>
  </si>
  <si>
    <t>revenue</t>
  </si>
  <si>
    <t>units</t>
  </si>
  <si>
    <t>avg_price</t>
  </si>
  <si>
    <t>health_beauty</t>
  </si>
  <si>
    <t>air_conditioning</t>
  </si>
  <si>
    <t>audio</t>
  </si>
  <si>
    <t>auto</t>
  </si>
  <si>
    <t>baby</t>
  </si>
  <si>
    <t>bed_bath_table</t>
  </si>
  <si>
    <t>computers_accessories</t>
  </si>
  <si>
    <t>consoles_games</t>
  </si>
  <si>
    <t>cool_stuff</t>
  </si>
  <si>
    <t>diapers_and_hygiene</t>
  </si>
  <si>
    <t>electronics</t>
  </si>
  <si>
    <t>fashio_female_clothing</t>
  </si>
  <si>
    <t>fashion_bags_accessories</t>
  </si>
  <si>
    <t>fashion_male_clothing</t>
  </si>
  <si>
    <t>fashion_shoes</t>
  </si>
  <si>
    <t>fixed_telephony</t>
  </si>
  <si>
    <t>food</t>
  </si>
  <si>
    <t>furniture_decor</t>
  </si>
  <si>
    <t>garden_tools</t>
  </si>
  <si>
    <t>housewares</t>
  </si>
  <si>
    <t>industry_commerce_and_business</t>
  </si>
  <si>
    <t>market_place</t>
  </si>
  <si>
    <t>office_furniture</t>
  </si>
  <si>
    <t>perfumery</t>
  </si>
  <si>
    <t>pet_shop</t>
  </si>
  <si>
    <t>sports_leisure</t>
  </si>
  <si>
    <t>telephony</t>
  </si>
  <si>
    <t>toys</t>
  </si>
  <si>
    <t>uncategorized</t>
  </si>
  <si>
    <t>watches_gifts</t>
  </si>
  <si>
    <t>agro_industry_and_commerce</t>
  </si>
  <si>
    <t>books_general_interest</t>
  </si>
  <si>
    <t>computers</t>
  </si>
  <si>
    <t>dvds_blu_ray</t>
  </si>
  <si>
    <t>fashion_underwear_beach</t>
  </si>
  <si>
    <t>furniture_bedroom</t>
  </si>
  <si>
    <t>furniture_living_room</t>
  </si>
  <si>
    <t>home_appliances_2</t>
  </si>
  <si>
    <t>home_comfort_2</t>
  </si>
  <si>
    <t>kitchen_dining_laundry_garden_furniture</t>
  </si>
  <si>
    <t>luggage_accessories</t>
  </si>
  <si>
    <t>music</t>
  </si>
  <si>
    <t>musical_instruments</t>
  </si>
  <si>
    <t>security_and_services</t>
  </si>
  <si>
    <t>small_appliances</t>
  </si>
  <si>
    <t>stationery</t>
  </si>
  <si>
    <t>books_technical</t>
  </si>
  <si>
    <t>cine_photo</t>
  </si>
  <si>
    <t>construction_tools_construction</t>
  </si>
  <si>
    <t>construction_tools_safety</t>
  </si>
  <si>
    <t>costruction_tools_garden</t>
  </si>
  <si>
    <t>home_appliances</t>
  </si>
  <si>
    <t>home_confort</t>
  </si>
  <si>
    <t>home_construction</t>
  </si>
  <si>
    <t>tablets_printing_image</t>
  </si>
  <si>
    <t>art</t>
  </si>
  <si>
    <t>drinks</t>
  </si>
  <si>
    <t>fashion_sport</t>
  </si>
  <si>
    <t>food_drink</t>
  </si>
  <si>
    <t>signaling_and_security</t>
  </si>
  <si>
    <t>books_imported</t>
  </si>
  <si>
    <t>christmas_supplies</t>
  </si>
  <si>
    <t>costruction_tools_tools</t>
  </si>
  <si>
    <t>furniture_mattress_and_upholstery</t>
  </si>
  <si>
    <t>la_cuisine</t>
  </si>
  <si>
    <t>pc_gamer</t>
  </si>
  <si>
    <t>arts_and_craftmanship</t>
  </si>
  <si>
    <t>fashion_childrens_clothes</t>
  </si>
  <si>
    <t>small_appliances_home_oven_and_coffee</t>
  </si>
  <si>
    <t>cds_dvds_musicals</t>
  </si>
  <si>
    <t>construction_tools_lights</t>
  </si>
  <si>
    <t>party_supplies</t>
  </si>
  <si>
    <t>flowers</t>
  </si>
  <si>
    <t>portateis_cozinha_e_preparadores_de_alimentos</t>
  </si>
  <si>
    <t>tier</t>
  </si>
  <si>
    <t>growth_rate</t>
  </si>
  <si>
    <t>budget_revenue</t>
  </si>
  <si>
    <t>budget_units</t>
  </si>
  <si>
    <t>budget_avg_price</t>
  </si>
  <si>
    <t>mid</t>
  </si>
  <si>
    <t>high</t>
  </si>
  <si>
    <t>low</t>
  </si>
  <si>
    <t>line_item</t>
  </si>
  <si>
    <t>budget</t>
  </si>
  <si>
    <t>actual</t>
  </si>
  <si>
    <t>variance</t>
  </si>
  <si>
    <t>variance_pct</t>
  </si>
  <si>
    <t>ad_spend</t>
  </si>
  <si>
    <t>logistics</t>
  </si>
  <si>
    <t>payroll</t>
  </si>
  <si>
    <t>rent</t>
  </si>
  <si>
    <t>MonthList</t>
  </si>
  <si>
    <t>BUDGET VS ACTUAL VARIANCE ANALYSIS</t>
  </si>
  <si>
    <t>Data Coverage &amp; Known Limitations</t>
  </si>
  <si>
    <t>Budget coverage begins Sep-2017 (no prior-year anchor before that)</t>
  </si>
  <si>
    <t>Nov-2017 has no opex budget (YoY anchor month had zero delivered orders)</t>
  </si>
  <si>
    <t>~1.3% of revenue sits in an "uncategorized" bucket (immaterial)</t>
  </si>
  <si>
    <t>Controls</t>
  </si>
  <si>
    <t>Select Month</t>
  </si>
  <si>
    <t>$ Materiality Threshold</t>
  </si>
  <si>
    <t>% Materiality Threshold</t>
  </si>
  <si>
    <t>Legend</t>
  </si>
  <si>
    <t>Favorable</t>
  </si>
  <si>
    <t>Unfavorable</t>
  </si>
  <si>
    <t>Flagged (breaches both thresholds)</t>
  </si>
  <si>
    <t>Category</t>
  </si>
  <si>
    <t>Budget Revenue</t>
  </si>
  <si>
    <t>Actual Revenue</t>
  </si>
  <si>
    <t>Budget Units</t>
  </si>
  <si>
    <t>Actual Units</t>
  </si>
  <si>
    <t>Budget Avg Price</t>
  </si>
  <si>
    <t>Actual Avg Price</t>
  </si>
  <si>
    <t>Total $ Variance</t>
  </si>
  <si>
    <t>Price Effect</t>
  </si>
  <si>
    <t>Volume Effect</t>
  </si>
  <si>
    <t>Check</t>
  </si>
  <si>
    <t>Status</t>
  </si>
  <si>
    <t>TOTAL</t>
  </si>
  <si>
    <t>Mix/Unbudgeted Effect</t>
  </si>
  <si>
    <t>Line Item</t>
  </si>
  <si>
    <t>Budget</t>
  </si>
  <si>
    <t>Actual</t>
  </si>
  <si>
    <t>$ Variance</t>
  </si>
  <si>
    <t>% Variance</t>
  </si>
  <si>
    <t>Flagged</t>
  </si>
  <si>
    <t>Stage</t>
  </si>
  <si>
    <t>Mix/Unbudgeted</t>
  </si>
  <si>
    <t>Value</t>
  </si>
  <si>
    <t>Payroll</t>
  </si>
  <si>
    <t>Rent</t>
  </si>
  <si>
    <t>Ad Spend</t>
  </si>
  <si>
    <t>Logistics</t>
  </si>
  <si>
    <t>Source</t>
  </si>
  <si>
    <t>Line/Category</t>
  </si>
  <si>
    <t>Direction</t>
  </si>
  <si>
    <t>Commentary</t>
  </si>
  <si>
    <t>Revenue $ Materiality Threshold</t>
  </si>
  <si>
    <t>Rank</t>
  </si>
  <si>
    <t>BUDGET VS ACTUAL VARIANCE DASHBOARD</t>
  </si>
  <si>
    <t>Select Month:</t>
  </si>
  <si>
    <t>Total Revenue Variance</t>
  </si>
  <si>
    <t>OpEx Variance</t>
  </si>
  <si>
    <t>Flagged Categories</t>
  </si>
  <si>
    <t>Flagged OpEx Lines</t>
  </si>
  <si>
    <t>Uncategorized %</t>
  </si>
  <si>
    <t>Monthly Trend</t>
  </si>
  <si>
    <t>Month</t>
  </si>
  <si>
    <t>Variance %</t>
  </si>
  <si>
    <t>Sept-2017 through Dec-2017 excluded from trend — budget coverage too thin (1, 28, 0, and 1 categories respectively) for a whole-month variance % to be meaningful. Jan-2018 also shows an unusually high variance (~692%) due to thin early-period budget coverage; treat with the same caution. See i_Setup for full data coverage notes.</t>
  </si>
  <si>
    <t>Opex Flux Analysis - Selected Month:</t>
  </si>
  <si>
    <t>Flux Commentary - Selected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</si>
</sst>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mm\-yyyy"/>
    <numFmt numFmtId="165" formatCode="0.0%"/>
    <numFmt numFmtId="166" formatCode="&quot;$&quot;#,##0"/>
    <numFmt numFmtId="167" formatCode="&quot;$&quot;#,##0.00"/>
    <numFmt numFmtId="168" formatCode="0.0%;[Red]\-0.0%"/>
    <numFmt numFmtId="169" formatCode="&quot;$&quot;#,##0.00;[Red]\-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Segoe UI"/>
      <family val="2"/>
    </font>
    <font>
      <b/>
      <sz val="12"/>
      <color rgb="FF1F3864"/>
      <name val="Calibri"/>
      <family val="2"/>
      <scheme val="minor"/>
    </font>
    <font>
      <b/>
      <sz val="20"/>
      <color rgb="FF1F3864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2"/>
      <color rgb="FF1F3864"/>
      <name val="Segoe UI"/>
      <family val="2"/>
    </font>
    <font>
      <sz val="10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20"/>
      <color rgb="FF808080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9" fontId="0" fillId="0" borderId="0" xfId="1" applyFont="1"/>
    <xf numFmtId="0" fontId="3" fillId="0" borderId="0" xfId="0" applyFont="1"/>
    <xf numFmtId="0" fontId="0" fillId="0" borderId="0" xfId="0" applyAlignment="1">
      <alignment wrapText="1"/>
    </xf>
    <xf numFmtId="0" fontId="6" fillId="0" borderId="0" xfId="0" applyFont="1" applyFill="1" applyAlignment="1">
      <alignment horizontal="center"/>
    </xf>
    <xf numFmtId="14" fontId="3" fillId="6" borderId="3" xfId="0" applyNumberFormat="1" applyFont="1" applyFill="1" applyBorder="1"/>
    <xf numFmtId="0" fontId="0" fillId="0" borderId="0" xfId="0" applyBorder="1"/>
    <xf numFmtId="0" fontId="7" fillId="6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  <xf numFmtId="164" fontId="9" fillId="6" borderId="4" xfId="0" applyNumberFormat="1" applyFont="1" applyFill="1" applyBorder="1" applyAlignment="1">
      <alignment horizontal="left" vertical="center"/>
    </xf>
    <xf numFmtId="166" fontId="9" fillId="6" borderId="2" xfId="0" applyNumberFormat="1" applyFont="1" applyFill="1" applyBorder="1" applyAlignment="1">
      <alignment horizontal="right" vertical="center"/>
    </xf>
    <xf numFmtId="165" fontId="9" fillId="6" borderId="5" xfId="0" applyNumberFormat="1" applyFont="1" applyFill="1" applyBorder="1" applyAlignment="1">
      <alignment horizontal="right" vertical="center"/>
    </xf>
    <xf numFmtId="164" fontId="9" fillId="6" borderId="6" xfId="0" applyNumberFormat="1" applyFont="1" applyFill="1" applyBorder="1" applyAlignment="1">
      <alignment horizontal="left" vertical="center"/>
    </xf>
    <xf numFmtId="166" fontId="9" fillId="6" borderId="0" xfId="0" applyNumberFormat="1" applyFont="1" applyFill="1" applyBorder="1" applyAlignment="1">
      <alignment horizontal="right" vertical="center"/>
    </xf>
    <xf numFmtId="165" fontId="9" fillId="6" borderId="7" xfId="0" applyNumberFormat="1" applyFont="1" applyFill="1" applyBorder="1" applyAlignment="1">
      <alignment horizontal="right" vertical="center"/>
    </xf>
    <xf numFmtId="164" fontId="0" fillId="6" borderId="6" xfId="0" applyNumberFormat="1" applyFont="1" applyFill="1" applyBorder="1" applyAlignment="1">
      <alignment horizontal="left" vertical="center"/>
    </xf>
    <xf numFmtId="166" fontId="0" fillId="6" borderId="0" xfId="0" applyNumberFormat="1" applyFont="1" applyFill="1" applyBorder="1" applyAlignment="1">
      <alignment horizontal="right" vertical="center"/>
    </xf>
    <xf numFmtId="165" fontId="0" fillId="6" borderId="7" xfId="0" applyNumberFormat="1" applyFont="1" applyFill="1" applyBorder="1" applyAlignment="1">
      <alignment horizontal="right" vertical="center"/>
    </xf>
    <xf numFmtId="164" fontId="0" fillId="6" borderId="8" xfId="0" applyNumberFormat="1" applyFont="1" applyFill="1" applyBorder="1" applyAlignment="1">
      <alignment horizontal="left" vertical="center"/>
    </xf>
    <xf numFmtId="166" fontId="0" fillId="6" borderId="1" xfId="0" applyNumberFormat="1" applyFont="1" applyFill="1" applyBorder="1" applyAlignment="1">
      <alignment horizontal="right" vertical="center"/>
    </xf>
    <xf numFmtId="165" fontId="0" fillId="6" borderId="9" xfId="0" applyNumberFormat="1" applyFont="1" applyFill="1" applyBorder="1" applyAlignment="1">
      <alignment horizontal="right" vertical="center"/>
    </xf>
    <xf numFmtId="9" fontId="14" fillId="7" borderId="10" xfId="1" applyFont="1" applyFill="1" applyBorder="1" applyAlignment="1">
      <alignment horizontal="center" vertical="center"/>
    </xf>
    <xf numFmtId="166" fontId="4" fillId="5" borderId="3" xfId="0" applyNumberFormat="1" applyFont="1" applyFill="1" applyBorder="1" applyAlignment="1">
      <alignment horizontal="center" vertical="center"/>
    </xf>
    <xf numFmtId="166" fontId="13" fillId="5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65" fontId="8" fillId="0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7" fillId="0" borderId="0" xfId="0" applyFont="1" applyBorder="1"/>
    <xf numFmtId="0" fontId="7" fillId="0" borderId="1" xfId="0" applyFont="1" applyBorder="1"/>
    <xf numFmtId="0" fontId="19" fillId="0" borderId="0" xfId="0" applyFont="1" applyAlignment="1">
      <alignment horizontal="left"/>
    </xf>
    <xf numFmtId="164" fontId="20" fillId="0" borderId="11" xfId="0" applyNumberFormat="1" applyFont="1" applyBorder="1"/>
    <xf numFmtId="166" fontId="20" fillId="0" borderId="11" xfId="0" applyNumberFormat="1" applyFont="1" applyBorder="1"/>
    <xf numFmtId="9" fontId="20" fillId="0" borderId="11" xfId="0" applyNumberFormat="1" applyFont="1" applyBorder="1"/>
    <xf numFmtId="0" fontId="11" fillId="0" borderId="0" xfId="0" applyFont="1" applyAlignment="1">
      <alignment horizontal="left"/>
    </xf>
    <xf numFmtId="0" fontId="0" fillId="2" borderId="12" xfId="0" applyFill="1" applyBorder="1"/>
    <xf numFmtId="0" fontId="0" fillId="3" borderId="12" xfId="0" applyFill="1" applyBorder="1"/>
    <xf numFmtId="0" fontId="0" fillId="4" borderId="3" xfId="0" applyFill="1" applyBorder="1"/>
    <xf numFmtId="0" fontId="2" fillId="5" borderId="0" xfId="0" applyFont="1" applyFill="1"/>
    <xf numFmtId="167" fontId="0" fillId="0" borderId="0" xfId="0" applyNumberFormat="1"/>
    <xf numFmtId="3" fontId="0" fillId="0" borderId="0" xfId="0" applyNumberFormat="1"/>
    <xf numFmtId="9" fontId="0" fillId="0" borderId="0" xfId="1" applyNumberFormat="1" applyFon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  <xf numFmtId="169" fontId="0" fillId="6" borderId="0" xfId="0" applyNumberFormat="1" applyFont="1" applyFill="1"/>
    <xf numFmtId="4" fontId="0" fillId="6" borderId="0" xfId="0" applyNumberFormat="1" applyFill="1"/>
    <xf numFmtId="0" fontId="15" fillId="5" borderId="0" xfId="0" applyFont="1" applyFill="1"/>
    <xf numFmtId="0" fontId="16" fillId="5" borderId="0" xfId="0" applyFont="1" applyFill="1"/>
    <xf numFmtId="14" fontId="18" fillId="0" borderId="0" xfId="0" applyNumberFormat="1" applyFont="1"/>
    <xf numFmtId="0" fontId="2" fillId="5" borderId="4" xfId="0" applyFont="1" applyFill="1" applyBorder="1"/>
    <xf numFmtId="0" fontId="2" fillId="5" borderId="5" xfId="0" applyFont="1" applyFill="1" applyBorder="1"/>
    <xf numFmtId="0" fontId="3" fillId="0" borderId="6" xfId="0" applyFont="1" applyBorder="1" applyAlignment="1">
      <alignment horizontal="left"/>
    </xf>
    <xf numFmtId="169" fontId="3" fillId="0" borderId="7" xfId="0" applyNumberFormat="1" applyFont="1" applyBorder="1"/>
    <xf numFmtId="0" fontId="0" fillId="0" borderId="6" xfId="0" applyFont="1" applyBorder="1" applyAlignment="1">
      <alignment horizontal="left"/>
    </xf>
    <xf numFmtId="169" fontId="0" fillId="0" borderId="7" xfId="0" applyNumberFormat="1" applyBorder="1"/>
    <xf numFmtId="0" fontId="3" fillId="0" borderId="8" xfId="0" applyFont="1" applyBorder="1" applyAlignment="1">
      <alignment horizontal="left"/>
    </xf>
    <xf numFmtId="169" fontId="3" fillId="0" borderId="9" xfId="0" applyNumberFormat="1" applyFont="1" applyBorder="1"/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169" fontId="0" fillId="0" borderId="9" xfId="0" applyNumberFormat="1" applyBorder="1"/>
    <xf numFmtId="0" fontId="17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43">
    <dxf>
      <numFmt numFmtId="168" formatCode="0.0%;[Red]\-0.0%"/>
    </dxf>
    <dxf>
      <numFmt numFmtId="169" formatCode="&quot;$&quot;#,##0.00;[Red]\-&quot;$&quot;#,##0.00"/>
    </dxf>
    <dxf>
      <numFmt numFmtId="167" formatCode="&quot;$&quot;#,##0.00"/>
    </dxf>
    <dxf>
      <numFmt numFmtId="167" formatCode="&quot;$&quot;#,##0.00"/>
    </dxf>
    <dxf>
      <numFmt numFmtId="0" formatCode="General"/>
    </dxf>
    <dxf>
      <numFmt numFmtId="164" formatCode="mmm\-yyyy"/>
    </dxf>
    <dxf>
      <numFmt numFmtId="167" formatCode="&quot;$&quot;#,##0.00"/>
    </dxf>
    <dxf>
      <numFmt numFmtId="3" formatCode="#,##0"/>
    </dxf>
    <dxf>
      <numFmt numFmtId="167" formatCode="&quot;$&quot;#,##0.00"/>
    </dxf>
    <dxf>
      <numFmt numFmtId="13" formatCode="0%"/>
    </dxf>
    <dxf>
      <numFmt numFmtId="0" formatCode="General"/>
    </dxf>
    <dxf>
      <numFmt numFmtId="0" formatCode="General"/>
    </dxf>
    <dxf>
      <numFmt numFmtId="164" formatCode="mmm\-yyyy"/>
    </dxf>
    <dxf>
      <numFmt numFmtId="167" formatCode="&quot;$&quot;#,##0.00"/>
    </dxf>
    <dxf>
      <numFmt numFmtId="3" formatCode="#,##0"/>
    </dxf>
    <dxf>
      <numFmt numFmtId="167" formatCode="&quot;$&quot;#,##0.00"/>
    </dxf>
    <dxf>
      <numFmt numFmtId="0" formatCode="General"/>
    </dxf>
    <dxf>
      <numFmt numFmtId="164" formatCode="mmm\-yyyy"/>
    </dxf>
    <dxf>
      <font>
        <color rgb="FFFFC7CE"/>
      </font>
    </dxf>
    <dxf>
      <font>
        <color rgb="FFC6EFCE"/>
      </font>
    </dxf>
    <dxf>
      <font>
        <color rgb="FFC6EFCE"/>
      </font>
    </dxf>
    <dxf>
      <font>
        <color rgb="FFFFC7CE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&quot;$&quot;#,##0.00;[Red]\-&quot;$&quot;#,##0.00"/>
    </dxf>
    <dxf>
      <numFmt numFmtId="169" formatCode="&quot;$&quot;#,##0.00;[Red]\-&quot;$&quot;#,##0.00"/>
    </dxf>
    <dxf>
      <numFmt numFmtId="169" formatCode="&quot;$&quot;#,##0.00;[Red]\-&quot;$&quot;#,##0.00"/>
    </dxf>
    <dxf>
      <numFmt numFmtId="169" formatCode="&quot;$&quot;#,##0.00;[Red]\-&quot;$&quot;#,##0.00"/>
    </dxf>
    <dxf>
      <numFmt numFmtId="169" formatCode="&quot;$&quot;#,##0.00;[Red]\-&quot;$&quot;#,##0.00"/>
    </dxf>
    <dxf>
      <numFmt numFmtId="4" formatCode="#,##0.00"/>
    </dxf>
    <dxf>
      <numFmt numFmtId="4" formatCode="#,##0.00"/>
    </dxf>
    <dxf>
      <numFmt numFmtId="169" formatCode="&quot;$&quot;#,##0.00;[Red]\-&quot;$&quot;#,##0.00"/>
    </dxf>
    <dxf>
      <numFmt numFmtId="169" formatCode="&quot;$&quot;#,##0.00;[Red]\-&quot;$&quot;#,##0.00"/>
    </dxf>
    <dxf>
      <alignment horizontal="left" vertical="bottom" textRotation="0" wrapText="0" indent="0" justifyLastLine="0" shrinkToFit="0" readingOrder="0"/>
    </dxf>
    <dxf>
      <fill>
        <patternFill>
          <bgColor rgb="FFFFEB9C"/>
        </patternFill>
      </fill>
    </dxf>
    <dxf>
      <fill>
        <patternFill>
          <bgColor rgb="FFF2F2F2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1F3864"/>
        </patternFill>
      </fill>
    </dxf>
  </dxfs>
  <tableStyles count="1" defaultTableStyle="TableStyleMedium2" defaultPivotStyle="PivotStyleLight16">
    <tableStyle name="BudgetVariance_Style" pivot="0" count="4" xr9:uid="{569BCC4F-AB30-4240-AF3F-90E6A5503BD0}">
      <tableStyleElement type="headerRow" dxfId="42"/>
      <tableStyleElement type="firstRowStripe" dxfId="41"/>
      <tableStyleElement type="secondRowStripe" dxfId="40"/>
    </tableStyle>
  </tableStyles>
  <colors>
    <mruColors>
      <color rgb="FF808080"/>
      <color rgb="FFC6EFCE"/>
      <color rgb="FF70AD47"/>
      <color rgb="FFD9D9D9"/>
      <color rgb="FF1F3864"/>
      <color rgb="FFFFC7CE"/>
      <color rgb="FFBF8F00"/>
      <color rgb="FFFFEB9C"/>
      <color rgb="FFF2F2F2"/>
      <color rgb="FF2E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F3864"/>
                </a:solidFill>
              </a:rPr>
              <a:t>Revenue Variance % Trend — Jan-2018 to Aug-2018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rgbClr val="1F386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o_Dashboard!$B$16:$B$23</c:f>
              <c:numCache>
                <c:formatCode>mmm\-yyyy</c:formatCode>
                <c:ptCount val="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</c:numCache>
            </c:numRef>
          </c:cat>
          <c:val>
            <c:numRef>
              <c:f>o_Dashboard!$E$16:$E$23</c:f>
              <c:numCache>
                <c:formatCode>0.0%</c:formatCode>
                <c:ptCount val="8"/>
                <c:pt idx="0">
                  <c:v>6.921018829883705</c:v>
                </c:pt>
                <c:pt idx="1">
                  <c:v>2.4320273967899606</c:v>
                </c:pt>
                <c:pt idx="2">
                  <c:v>1.5377423877866221</c:v>
                </c:pt>
                <c:pt idx="3">
                  <c:v>1.7349240571403826</c:v>
                </c:pt>
                <c:pt idx="4">
                  <c:v>0.9118270505970093</c:v>
                </c:pt>
                <c:pt idx="5">
                  <c:v>0.93999019062021028</c:v>
                </c:pt>
                <c:pt idx="6">
                  <c:v>0.72855151981366972</c:v>
                </c:pt>
                <c:pt idx="7">
                  <c:v>0.4461585348583551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E-4242-816A-F7649CC39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154224"/>
        <c:axId val="1919636720"/>
      </c:lineChart>
      <c:dateAx>
        <c:axId val="168515422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rgbClr val="1F3864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919636720"/>
        <c:crosses val="autoZero"/>
        <c:auto val="1"/>
        <c:lblOffset val="100"/>
        <c:baseTimeUnit val="months"/>
      </c:dateAx>
      <c:valAx>
        <c:axId val="19196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1F3864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68515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spc="0" baseline="0">
                <a:solidFill>
                  <a:srgbClr val="1F3864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spc="0" baseline="0">
              <a:solidFill>
                <a:srgbClr val="1F3864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o_VarianceBridge!$B$12</c:f>
              <c:strCache>
                <c:ptCount val="1"/>
                <c:pt idx="0">
                  <c:v>$ Variance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1"/>
          <c:dLbls>
            <c:numFmt formatCode="&quot;$&quot;#,##0;\(&quot;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1F3864"/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o_VarianceBridge!$A$13:$A$16</c:f>
              <c:strCache>
                <c:ptCount val="4"/>
                <c:pt idx="0">
                  <c:v>Payroll</c:v>
                </c:pt>
                <c:pt idx="1">
                  <c:v>Rent</c:v>
                </c:pt>
                <c:pt idx="2">
                  <c:v>Ad Spend</c:v>
                </c:pt>
                <c:pt idx="3">
                  <c:v>Logistics</c:v>
                </c:pt>
              </c:strCache>
            </c:strRef>
          </c:cat>
          <c:val>
            <c:numRef>
              <c:f>o_VarianceBridge!$B$13:$B$16</c:f>
              <c:numCache>
                <c:formatCode>"$"#,##0.00;[Red]\-"$"#,##0.00</c:formatCode>
                <c:ptCount val="4"/>
                <c:pt idx="0">
                  <c:v>-417.07592353121436</c:v>
                </c:pt>
                <c:pt idx="1">
                  <c:v>-18.06210403892328</c:v>
                </c:pt>
                <c:pt idx="2">
                  <c:v>-70.439107383572264</c:v>
                </c:pt>
                <c:pt idx="3">
                  <c:v>-541.61376524410298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6EFCE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086-4FC9-84EC-83D5EE78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455712"/>
        <c:axId val="866800160"/>
      </c:barChart>
      <c:catAx>
        <c:axId val="8684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lang="en-US" sz="900" b="1" i="0" u="none" strike="noStrike" kern="1200" baseline="0">
                <a:solidFill>
                  <a:srgbClr val="1F3864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866800160"/>
        <c:crosses val="autoZero"/>
        <c:auto val="1"/>
        <c:lblAlgn val="ctr"/>
        <c:lblOffset val="100"/>
        <c:noMultiLvlLbl val="0"/>
      </c:catAx>
      <c:valAx>
        <c:axId val="866800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\-&quot;$&quot;#,##0.00" sourceLinked="1"/>
        <c:majorTickMark val="none"/>
        <c:minorTickMark val="none"/>
        <c:tickLblPos val="nextTo"/>
        <c:crossAx val="86845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rgbClr val="D9D9D9"/>
      </a:solidFill>
      <a:round/>
    </a:ln>
    <a:effectLst/>
  </c:spPr>
  <c:txPr>
    <a:bodyPr/>
    <a:lstStyle/>
    <a:p>
      <a:pPr algn="ctr" rtl="0">
        <a:defRPr lang="en-US" sz="900" b="1" i="0" u="none" strike="noStrike" baseline="0">
          <a:solidFill>
            <a:srgbClr val="1F3864"/>
          </a:solidFill>
          <a:latin typeface="Calibri" panose="020F0502020204030204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32B8B2E0-729B-471D-8DC3-3A4122381EC5}">
          <cx:tx>
            <cx:txData>
              <cx:f>_xlchart.v1.1</cx:f>
              <cx:v>Value</cx:v>
            </cx:txData>
          </cx:tx>
          <cx:dataPt idx="0">
            <cx:spPr>
              <a:solidFill>
                <a:srgbClr val="1F3864"/>
              </a:solidFill>
            </cx:spPr>
          </cx:dataPt>
          <cx:dataPt idx="1">
            <cx:spPr>
              <a:solidFill>
                <a:srgbClr val="C6EFCE"/>
              </a:solidFill>
            </cx:spPr>
          </cx:dataPt>
          <cx:dataPt idx="2">
            <cx:spPr>
              <a:solidFill>
                <a:srgbClr val="C6EFCE"/>
              </a:solidFill>
            </cx:spPr>
          </cx:dataPt>
          <cx:dataPt idx="3">
            <cx:spPr>
              <a:solidFill>
                <a:srgbClr val="C6EFCE"/>
              </a:solidFill>
            </cx:spPr>
          </cx:dataPt>
          <cx:dataPt idx="4">
            <cx:spPr>
              <a:solidFill>
                <a:srgbClr val="1F3864"/>
              </a:solidFill>
            </cx:spPr>
          </cx:dataPt>
          <cx:dataLabels pos="outEnd">
            <cx:numFmt formatCode="$#,##0;($#,##0)" sourceLinked="0"/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1F3864"/>
                    </a:solidFill>
                  </a:defRPr>
                </a:pPr>
                <a:endParaRPr lang="en-US" sz="900" b="1" i="0" u="none" strike="noStrike" baseline="0">
                  <a:solidFill>
                    <a:srgbClr val="1F3864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0"/>
              <cx:idx val="4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rgbClr val="1F3864"/>
                </a:solidFill>
              </a:defRPr>
            </a:pPr>
            <a:endParaRPr lang="en-US" sz="900" b="1" i="0" u="none" strike="noStrike" baseline="0">
              <a:solidFill>
                <a:srgbClr val="1F3864"/>
              </a:solidFill>
              <a:latin typeface="Calibri" panose="020F0502020204030204"/>
            </a:endParaRPr>
          </a:p>
        </cx:txPr>
      </cx:axis>
      <cx:axis id="1" hidden="1">
        <cx:valScaling/>
        <cx:majorGridlines>
          <cx:spPr>
            <a:ln>
              <a:solidFill>
                <a:srgbClr val="D9D9D9"/>
              </a:solidFill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9</xdr:row>
      <xdr:rowOff>190501</xdr:rowOff>
    </xdr:from>
    <xdr:to>
      <xdr:col>10</xdr:col>
      <xdr:colOff>0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5CDF8-F7B3-436F-B1F4-E7C0476FE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371476</xdr:colOff>
      <xdr:row>1</xdr:row>
      <xdr:rowOff>57149</xdr:rowOff>
    </xdr:from>
    <xdr:to>
      <xdr:col>14</xdr:col>
      <xdr:colOff>476250</xdr:colOff>
      <xdr:row>14</xdr:row>
      <xdr:rowOff>85726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E142E24-38E0-4C44-877B-48E78349C2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1" y="257174"/>
              <a:ext cx="6810374" cy="2314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171450</xdr:colOff>
      <xdr:row>2</xdr:row>
      <xdr:rowOff>9525</xdr:rowOff>
    </xdr:from>
    <xdr:to>
      <xdr:col>10</xdr:col>
      <xdr:colOff>247650</xdr:colOff>
      <xdr:row>3</xdr:row>
      <xdr:rowOff>66675</xdr:rowOff>
    </xdr:to>
    <xdr:sp macro="" textlink="$A$1">
      <xdr:nvSpPr>
        <xdr:cNvPr id="4" name="TextBox 3">
          <a:extLst>
            <a:ext uri="{FF2B5EF4-FFF2-40B4-BE49-F238E27FC236}">
              <a16:creationId xmlns:a16="http://schemas.microsoft.com/office/drawing/2014/main" id="{161BA313-0AEF-455E-BDC8-3878E6B59C5F}"/>
            </a:ext>
          </a:extLst>
        </xdr:cNvPr>
        <xdr:cNvSpPr txBox="1"/>
      </xdr:nvSpPr>
      <xdr:spPr>
        <a:xfrm>
          <a:off x="5286375" y="314325"/>
          <a:ext cx="2514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D48509-BB04-4C69-B8E5-CBE8184BC734}" type="TxLink">
            <a:rPr lang="en-US" sz="1100" b="1" i="0" u="none" strike="noStrike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Revenue Bridge - Aug-2018</a:t>
          </a:fld>
          <a:endParaRPr lang="en-US" sz="1100" b="1">
            <a:solidFill>
              <a:srgbClr val="1F3864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381000</xdr:colOff>
      <xdr:row>15</xdr:row>
      <xdr:rowOff>19050</xdr:rowOff>
    </xdr:from>
    <xdr:to>
      <xdr:col>14</xdr:col>
      <xdr:colOff>466725</xdr:colOff>
      <xdr:row>30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F9E92C-EA61-4197-8F7F-6FE79C56A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276225</xdr:colOff>
      <xdr:row>15</xdr:row>
      <xdr:rowOff>104775</xdr:rowOff>
    </xdr:from>
    <xdr:to>
      <xdr:col>10</xdr:col>
      <xdr:colOff>352425</xdr:colOff>
      <xdr:row>16</xdr:row>
      <xdr:rowOff>161925</xdr:rowOff>
    </xdr:to>
    <xdr:sp macro="" textlink="$A$10">
      <xdr:nvSpPr>
        <xdr:cNvPr id="7" name="TextBox 6">
          <a:extLst>
            <a:ext uri="{FF2B5EF4-FFF2-40B4-BE49-F238E27FC236}">
              <a16:creationId xmlns:a16="http://schemas.microsoft.com/office/drawing/2014/main" id="{868F6CFF-F5EA-4543-9AAD-3517C3F23037}"/>
            </a:ext>
          </a:extLst>
        </xdr:cNvPr>
        <xdr:cNvSpPr txBox="1"/>
      </xdr:nvSpPr>
      <xdr:spPr>
        <a:xfrm>
          <a:off x="5391150" y="2781300"/>
          <a:ext cx="25146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2B74C4D-688E-4AE0-BE79-C4E32CB6C5A3}" type="TxLink">
            <a:rPr lang="en-US" sz="1100" b="1" i="0" u="none" strike="noStrike">
              <a:solidFill>
                <a:srgbClr val="1F3864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OpEx $ Variance - Aug-2018</a:t>
          </a:fld>
          <a:endParaRPr lang="en-US" sz="1100" b="1" i="0" u="none" strike="noStrike">
            <a:solidFill>
              <a:srgbClr val="1F3864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7FF0F7-CD03-45E9-9E3B-382683BBA0AD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category" tableColumnId="2"/>
      <queryTableField id="3" name="revenue" tableColumnId="3"/>
      <queryTableField id="4" name="units" tableColumnId="4"/>
      <queryTableField id="5" name="avg_pric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72D431-7D79-45E2-B070-534E3D3F0F3B}" autoFormatId="16" applyNumberFormats="0" applyBorderFormats="0" applyFontFormats="0" applyPatternFormats="0" applyAlignmentFormats="0" applyWidthHeightFormats="0">
  <queryTableRefresh nextId="8">
    <queryTableFields count="7">
      <queryTableField id="1" name="month" tableColumnId="1"/>
      <queryTableField id="2" name="category" tableColumnId="2"/>
      <queryTableField id="3" name="tier" tableColumnId="3"/>
      <queryTableField id="4" name="growth_rate" tableColumnId="4"/>
      <queryTableField id="5" name="budget_revenue" tableColumnId="5"/>
      <queryTableField id="6" name="budget_units" tableColumnId="6"/>
      <queryTableField id="7" name="budget_avg_pri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79A9AB-B874-43E2-AF93-3A4C6A60436B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line_item" tableColumnId="2"/>
      <queryTableField id="3" name="budget" tableColumnId="3"/>
      <queryTableField id="4" name="actual" tableColumnId="4"/>
      <queryTableField id="5" name="variance" tableColumnId="5"/>
      <queryTableField id="6" name="variance_pc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E4D09-6B3D-4A6F-8322-E9A2156E7D1A}" name="tbl_Actuals" displayName="tbl_Actuals" ref="A1:E1274" tableType="queryTable" totalsRowShown="0">
  <autoFilter ref="A1:E1274" xr:uid="{CD156E37-6F08-4667-A501-1476DBF44A72}"/>
  <tableColumns count="5">
    <tableColumn id="1" xr3:uid="{5F1C8A29-9B4E-45E9-AD03-24161E62D8FB}" uniqueName="1" name="month" queryTableFieldId="1" dataDxfId="17"/>
    <tableColumn id="2" xr3:uid="{68B8A065-171A-4E6F-8FC6-0467A21E7E3A}" uniqueName="2" name="category" queryTableFieldId="2" dataDxfId="16"/>
    <tableColumn id="3" xr3:uid="{D74051F7-5494-46DA-BC1D-A1151CF9224B}" uniqueName="3" name="revenue" queryTableFieldId="3" dataDxfId="15"/>
    <tableColumn id="4" xr3:uid="{9AA8F3E8-4E4F-4E96-8EB2-357BEA1A0682}" uniqueName="4" name="units" queryTableFieldId="4" dataDxfId="14"/>
    <tableColumn id="5" xr3:uid="{CCD888E2-8666-4C28-8E4F-567A767561CF}" uniqueName="5" name="avg_price" queryTableFieldId="5" dataDxfId="13"/>
  </tableColumns>
  <tableStyleInfo name="BudgetVariance_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42419-DD71-4AA9-8B2F-D0C526EB92DB}" name="tbl_Budget" displayName="tbl_Budget" ref="A1:G457" tableType="queryTable" totalsRowShown="0">
  <autoFilter ref="A1:G457" xr:uid="{F585B6FF-0A13-480E-BAB6-F9403F1CA2E2}"/>
  <tableColumns count="7">
    <tableColumn id="1" xr3:uid="{E8284F48-BFA6-4CD9-A37F-0101CD1D1233}" uniqueName="1" name="month" queryTableFieldId="1" dataDxfId="12"/>
    <tableColumn id="2" xr3:uid="{47AC74FD-18E4-433C-AEC8-B27D5B06B279}" uniqueName="2" name="category" queryTableFieldId="2" dataDxfId="11"/>
    <tableColumn id="3" xr3:uid="{5E69F6ED-BBD8-4405-B81C-F146767F01CB}" uniqueName="3" name="tier" queryTableFieldId="3" dataDxfId="10"/>
    <tableColumn id="4" xr3:uid="{DD85F5E4-4A9F-48F5-A698-55FBF8BD2E14}" uniqueName="4" name="growth_rate" queryTableFieldId="4" dataDxfId="9" dataCellStyle="Percent"/>
    <tableColumn id="5" xr3:uid="{882A3A3F-A5F7-4902-A4DD-55200CF4B5B4}" uniqueName="5" name="budget_revenue" queryTableFieldId="5" dataDxfId="8"/>
    <tableColumn id="6" xr3:uid="{658D6E23-4054-4C88-86F3-4CDB7D92EF2B}" uniqueName="6" name="budget_units" queryTableFieldId="6" dataDxfId="7"/>
    <tableColumn id="7" xr3:uid="{8BF44EBD-C8F1-4A95-B543-83A596E9EF7E}" uniqueName="7" name="budget_avg_price" queryTableFieldId="7" dataDxfId="6"/>
  </tableColumns>
  <tableStyleInfo name="BudgetVariance_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299E50-AD17-4DF4-9653-C63C8C183163}" name="tbl_Opex" displayName="tbl_Opex" ref="A1:F45" tableType="queryTable" totalsRowShown="0">
  <autoFilter ref="A1:F45" xr:uid="{0A109861-706E-4D13-9739-5F542348D53F}"/>
  <tableColumns count="6">
    <tableColumn id="1" xr3:uid="{52F066C7-0380-461E-A221-E12B1F425710}" uniqueName="1" name="month" queryTableFieldId="1" dataDxfId="5"/>
    <tableColumn id="2" xr3:uid="{A039A0BD-C893-4280-ADD3-82FC86E49175}" uniqueName="2" name="line_item" queryTableFieldId="2" dataDxfId="4"/>
    <tableColumn id="3" xr3:uid="{79E08619-E99B-4590-B4DA-5F0F6FF480F1}" uniqueName="3" name="budget" queryTableFieldId="3" dataDxfId="3"/>
    <tableColumn id="4" xr3:uid="{4E4C7F42-0583-44E3-A906-D71B10115488}" uniqueName="4" name="actual" queryTableFieldId="4" dataDxfId="2"/>
    <tableColumn id="5" xr3:uid="{BA6A0AB7-03F0-4EE2-9BCB-D78A056FBCB0}" uniqueName="5" name="variance" queryTableFieldId="5" dataDxfId="1"/>
    <tableColumn id="6" xr3:uid="{65B8DE85-283C-4308-B457-CB9CEC459E98}" uniqueName="6" name="variance_pct" queryTableFieldId="6" dataDxfId="0"/>
  </tableColumns>
  <tableStyleInfo name="BudgetVariance_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65F9A1-C835-4740-9749-A07561B99D09}" name="Table4" displayName="Table4" ref="A1:N75" totalsRowShown="0">
  <autoFilter ref="A1:N75" xr:uid="{1E7B1F84-13AD-49A8-838E-E155FD49C0B6}"/>
  <tableColumns count="14">
    <tableColumn id="1" xr3:uid="{CA5C17EA-C820-40D3-A589-310240EA904E}" name="Category" dataDxfId="38"/>
    <tableColumn id="2" xr3:uid="{B418DBA9-8CF7-4170-8C5B-E328B578DA99}" name="Budget Revenue" dataDxfId="37">
      <calculatedColumnFormula>SUMIFS(tbl_Budget[budget_revenue],tbl_Budget[category],$A2,tbl_Budget[month],i_Setup!$C$10)</calculatedColumnFormula>
    </tableColumn>
    <tableColumn id="3" xr3:uid="{B4D16849-2959-4295-90B3-23C5B2FABA52}" name="Actual Revenue" dataDxfId="36">
      <calculatedColumnFormula>SUMIFS(tbl_Actuals[revenue],tbl_Actuals[category],$A2, tbl_Actuals[month],i_Setup!$C$10)</calculatedColumnFormula>
    </tableColumn>
    <tableColumn id="4" xr3:uid="{BD12AC86-DC7E-4E38-92A7-12B4B3916787}" name="Budget Units" dataDxfId="35">
      <calculatedColumnFormula>SUMIFS(tbl_Budget[budget_units],tbl_Budget[category],$A2,tbl_Budget[month],i_Setup!$C$10)</calculatedColumnFormula>
    </tableColumn>
    <tableColumn id="5" xr3:uid="{DF598C0F-8978-434F-9496-65042E1247EB}" name="Actual Units" dataDxfId="34">
      <calculatedColumnFormula>SUMIFS(tbl_Actuals[units], tbl_Actuals[category], $A2, tbl_Actuals[month], i_Setup!$C$10)</calculatedColumnFormula>
    </tableColumn>
    <tableColumn id="6" xr3:uid="{E1398DC4-081C-4409-BC4A-520EA3C19E35}" name="Budget Avg Price" dataDxfId="33">
      <calculatedColumnFormula>SUMIFS(tbl_Budget[budget_avg_price], tbl_Budget[category], $A2, tbl_Budget[month], i_Setup!$C$10)</calculatedColumnFormula>
    </tableColumn>
    <tableColumn id="7" xr3:uid="{838B5A23-4EA0-4458-B54C-6329F0EAC639}" name="Actual Avg Price" dataDxfId="32">
      <calculatedColumnFormula>SUMIFS(tbl_Actuals[avg_price], tbl_Actuals[category], $A2, tbl_Actuals[month], i_Setup!$C$10)</calculatedColumnFormula>
    </tableColumn>
    <tableColumn id="8" xr3:uid="{73F84176-B4AF-4F71-B832-6BA4803AB54B}" name="Total $ Variance" dataDxfId="31">
      <calculatedColumnFormula>C2-B2</calculatedColumnFormula>
    </tableColumn>
    <tableColumn id="9" xr3:uid="{B15D442C-769D-4029-87D5-72D7A75FCD29}" name="Price Effect" dataDxfId="30">
      <calculatedColumnFormula>IF($B2=0,0,(G2-F2)*E2)</calculatedColumnFormula>
    </tableColumn>
    <tableColumn id="10" xr3:uid="{90CD899F-8CA6-4994-B276-F50DBCBB5202}" name="Volume Effect" dataDxfId="29">
      <calculatedColumnFormula>IF($B2=0,0,(E2-D2)*F2)</calculatedColumnFormula>
    </tableColumn>
    <tableColumn id="11" xr3:uid="{CC34FD70-AC6F-4F76-A9A4-3E914CA72D34}" name="Check">
      <calculatedColumnFormula>IF($B2=0,"",ROUND(H2-I2-J2,2))</calculatedColumnFormula>
    </tableColumn>
    <tableColumn id="12" xr3:uid="{F473F869-3EB0-4690-BC2C-5054A42194EE}" name="Status" dataDxfId="28">
      <calculatedColumnFormula>IF(AND(B2=0,C2=0),"No Activity",IF(B2=0,"Unbudgeted",""))</calculatedColumnFormula>
    </tableColumn>
    <tableColumn id="13" xr3:uid="{A4A9ADC1-3436-4BDE-8251-34BF09A0BBAB}" name="Flagged" dataDxfId="27">
      <calculatedColumnFormula>IF(L2="Unbudgeted",IF(H2&gt;=i_Setup!$C$13,"FLAG",""),IF(L2="No Activity","",IF(AND(ABS(H2)&gt;=i_Setup!$C$13,ABS(H2/B2)&gt;=i_Setup!$C$12),"FLAG","")))</calculatedColumnFormula>
    </tableColumn>
    <tableColumn id="14" xr3:uid="{4901D2C6-1B20-4260-97A5-63498C195760}" name="Rank">
      <calculatedColumnFormula>IF(M2="FLAG",COUNTIF($M$2:M2,"FLAG"),"")</calculatedColumnFormula>
    </tableColumn>
  </tableColumns>
  <tableStyleInfo name="BudgetVariance_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B883-AAB9-4957-8B60-E903A7C862BC}">
  <sheetPr>
    <tabColor rgb="FF808080"/>
  </sheetPr>
  <dimension ref="B1:U18"/>
  <sheetViews>
    <sheetView showGridLines="0" workbookViewId="0">
      <selection activeCell="M29" sqref="M29"/>
    </sheetView>
  </sheetViews>
  <sheetFormatPr defaultRowHeight="15" x14ac:dyDescent="0.25"/>
  <cols>
    <col min="1" max="1" width="1.7109375" customWidth="1"/>
    <col min="2" max="2" width="70.85546875" customWidth="1"/>
    <col min="3" max="3" width="22.7109375" customWidth="1"/>
    <col min="9" max="9" width="13.140625" bestFit="1" customWidth="1"/>
  </cols>
  <sheetData>
    <row r="1" spans="2:21" ht="8.25" customHeight="1" x14ac:dyDescent="0.25"/>
    <row r="2" spans="2:21" ht="30" customHeight="1" x14ac:dyDescent="0.25">
      <c r="B2" s="67" t="s">
        <v>97</v>
      </c>
      <c r="C2" s="67"/>
      <c r="U2" t="s">
        <v>96</v>
      </c>
    </row>
    <row r="3" spans="2:21" ht="8.25" customHeight="1" x14ac:dyDescent="0.25">
      <c r="U3" s="3">
        <v>42979</v>
      </c>
    </row>
    <row r="4" spans="2:21" ht="15.75" x14ac:dyDescent="0.25">
      <c r="B4" s="34" t="s">
        <v>98</v>
      </c>
      <c r="C4" s="34"/>
      <c r="U4" s="3">
        <v>43009</v>
      </c>
    </row>
    <row r="5" spans="2:21" ht="13.5" customHeight="1" x14ac:dyDescent="0.25">
      <c r="B5" s="31" t="s">
        <v>99</v>
      </c>
      <c r="U5" s="3">
        <v>43040</v>
      </c>
    </row>
    <row r="6" spans="2:21" x14ac:dyDescent="0.25">
      <c r="B6" s="31" t="s">
        <v>100</v>
      </c>
      <c r="U6" s="3">
        <v>43070</v>
      </c>
    </row>
    <row r="7" spans="2:21" ht="14.25" customHeight="1" x14ac:dyDescent="0.25">
      <c r="B7" s="31" t="s">
        <v>101</v>
      </c>
      <c r="U7" s="3">
        <v>43101</v>
      </c>
    </row>
    <row r="8" spans="2:21" ht="6" customHeight="1" x14ac:dyDescent="0.25">
      <c r="U8" s="3">
        <v>43132</v>
      </c>
    </row>
    <row r="9" spans="2:21" ht="17.25" customHeight="1" x14ac:dyDescent="0.25">
      <c r="B9" s="34" t="s">
        <v>102</v>
      </c>
      <c r="C9" s="9"/>
      <c r="U9" s="3">
        <v>43160</v>
      </c>
    </row>
    <row r="10" spans="2:21" x14ac:dyDescent="0.25">
      <c r="B10" s="35" t="s">
        <v>103</v>
      </c>
      <c r="C10" s="36">
        <f>o_Dashboard!C3</f>
        <v>43313</v>
      </c>
      <c r="U10" s="3">
        <v>43191</v>
      </c>
    </row>
    <row r="11" spans="2:21" x14ac:dyDescent="0.25">
      <c r="B11" s="35" t="s">
        <v>104</v>
      </c>
      <c r="C11" s="37">
        <v>1000</v>
      </c>
      <c r="U11" s="3">
        <v>43221</v>
      </c>
    </row>
    <row r="12" spans="2:21" x14ac:dyDescent="0.25">
      <c r="B12" s="35" t="s">
        <v>105</v>
      </c>
      <c r="C12" s="38">
        <v>0.05</v>
      </c>
      <c r="U12" s="3">
        <v>43252</v>
      </c>
    </row>
    <row r="13" spans="2:21" x14ac:dyDescent="0.25">
      <c r="B13" s="35" t="s">
        <v>141</v>
      </c>
      <c r="C13" s="37">
        <v>5000</v>
      </c>
      <c r="U13" s="3">
        <v>43282</v>
      </c>
    </row>
    <row r="14" spans="2:21" ht="8.25" customHeight="1" x14ac:dyDescent="0.25">
      <c r="U14" s="3">
        <v>43313</v>
      </c>
    </row>
    <row r="15" spans="2:21" ht="15.75" x14ac:dyDescent="0.25">
      <c r="B15" s="34" t="s">
        <v>106</v>
      </c>
      <c r="C15" s="33"/>
    </row>
    <row r="16" spans="2:21" x14ac:dyDescent="0.25">
      <c r="B16" s="39" t="s">
        <v>107</v>
      </c>
      <c r="C16" s="40"/>
    </row>
    <row r="17" spans="2:3" x14ac:dyDescent="0.25">
      <c r="B17" s="39" t="s">
        <v>108</v>
      </c>
      <c r="C17" s="41"/>
    </row>
    <row r="18" spans="2:3" x14ac:dyDescent="0.25">
      <c r="B18" s="39" t="s">
        <v>109</v>
      </c>
      <c r="C18" s="4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5A99-4130-4393-970E-7352A016D27C}">
  <sheetPr>
    <tabColor rgb="FF808080"/>
  </sheetPr>
  <dimension ref="A1:E1274"/>
  <sheetViews>
    <sheetView showGridLines="0" workbookViewId="0">
      <pane ySplit="1" topLeftCell="A2" activePane="bottomLeft" state="frozen"/>
      <selection pane="bottomLeft" activeCell="I1267" sqref="I1267"/>
    </sheetView>
  </sheetViews>
  <sheetFormatPr defaultRowHeight="15" x14ac:dyDescent="0.25"/>
  <cols>
    <col min="1" max="1" width="9.7109375" bestFit="1" customWidth="1"/>
    <col min="2" max="2" width="46" bestFit="1" customWidth="1"/>
    <col min="3" max="3" width="11.140625" bestFit="1" customWidth="1"/>
    <col min="4" max="4" width="7.7109375" bestFit="1" customWidth="1"/>
    <col min="5" max="5" width="12" bestFit="1" customWidth="1"/>
    <col min="8" max="9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>
        <v>42614</v>
      </c>
      <c r="B2" s="2" t="s">
        <v>5</v>
      </c>
      <c r="C2" s="44">
        <v>134.97</v>
      </c>
      <c r="D2" s="45">
        <v>3</v>
      </c>
      <c r="E2" s="44">
        <v>44.99</v>
      </c>
    </row>
    <row r="3" spans="1:5" x14ac:dyDescent="0.25">
      <c r="A3" s="3">
        <v>42644</v>
      </c>
      <c r="B3" s="2" t="s">
        <v>6</v>
      </c>
      <c r="C3" s="44">
        <v>1349.29</v>
      </c>
      <c r="D3" s="45">
        <v>8</v>
      </c>
      <c r="E3" s="44">
        <v>168.66125</v>
      </c>
    </row>
    <row r="4" spans="1:5" x14ac:dyDescent="0.25">
      <c r="A4" s="3">
        <v>42644</v>
      </c>
      <c r="B4" s="2" t="s">
        <v>7</v>
      </c>
      <c r="C4" s="44">
        <v>156.99</v>
      </c>
      <c r="D4" s="45">
        <v>2</v>
      </c>
      <c r="E4" s="44">
        <v>78.495000000000005</v>
      </c>
    </row>
    <row r="5" spans="1:5" x14ac:dyDescent="0.25">
      <c r="A5" s="3">
        <v>42644</v>
      </c>
      <c r="B5" s="2" t="s">
        <v>8</v>
      </c>
      <c r="C5" s="44">
        <v>1128.26</v>
      </c>
      <c r="D5" s="45">
        <v>8</v>
      </c>
      <c r="E5" s="44">
        <v>141.0325</v>
      </c>
    </row>
    <row r="6" spans="1:5" x14ac:dyDescent="0.25">
      <c r="A6" s="3">
        <v>42644</v>
      </c>
      <c r="B6" s="2" t="s">
        <v>9</v>
      </c>
      <c r="C6" s="44">
        <v>1371.17</v>
      </c>
      <c r="D6" s="45">
        <v>11</v>
      </c>
      <c r="E6" s="44">
        <v>124.65181800000001</v>
      </c>
    </row>
    <row r="7" spans="1:5" x14ac:dyDescent="0.25">
      <c r="A7" s="3">
        <v>42644</v>
      </c>
      <c r="B7" s="2" t="s">
        <v>10</v>
      </c>
      <c r="C7" s="44">
        <v>478.99</v>
      </c>
      <c r="D7" s="45">
        <v>8</v>
      </c>
      <c r="E7" s="44">
        <v>59.873750000000001</v>
      </c>
    </row>
    <row r="8" spans="1:5" x14ac:dyDescent="0.25">
      <c r="A8" s="3">
        <v>42644</v>
      </c>
      <c r="B8" s="2" t="s">
        <v>11</v>
      </c>
      <c r="C8" s="44">
        <v>669.02</v>
      </c>
      <c r="D8" s="45">
        <v>12</v>
      </c>
      <c r="E8" s="44">
        <v>55.751666999999998</v>
      </c>
    </row>
    <row r="9" spans="1:5" x14ac:dyDescent="0.25">
      <c r="A9" s="3">
        <v>42644</v>
      </c>
      <c r="B9" s="2" t="s">
        <v>12</v>
      </c>
      <c r="C9" s="44">
        <v>3619.36</v>
      </c>
      <c r="D9" s="45">
        <v>7</v>
      </c>
      <c r="E9" s="44">
        <v>517.05142899999998</v>
      </c>
    </row>
    <row r="10" spans="1:5" x14ac:dyDescent="0.25">
      <c r="A10" s="3">
        <v>42644</v>
      </c>
      <c r="B10" s="2" t="s">
        <v>13</v>
      </c>
      <c r="C10" s="44">
        <v>1046.0999999999999</v>
      </c>
      <c r="D10" s="45">
        <v>7</v>
      </c>
      <c r="E10" s="44">
        <v>149.442857</v>
      </c>
    </row>
    <row r="11" spans="1:5" x14ac:dyDescent="0.25">
      <c r="A11" s="3">
        <v>42644</v>
      </c>
      <c r="B11" s="2" t="s">
        <v>14</v>
      </c>
      <c r="C11" s="44">
        <v>134.9</v>
      </c>
      <c r="D11" s="45">
        <v>1</v>
      </c>
      <c r="E11" s="44">
        <v>134.9</v>
      </c>
    </row>
    <row r="12" spans="1:5" x14ac:dyDescent="0.25">
      <c r="A12" s="3">
        <v>42644</v>
      </c>
      <c r="B12" s="2" t="s">
        <v>15</v>
      </c>
      <c r="C12" s="44">
        <v>107.99</v>
      </c>
      <c r="D12" s="45">
        <v>1</v>
      </c>
      <c r="E12" s="44">
        <v>107.99</v>
      </c>
    </row>
    <row r="13" spans="1:5" x14ac:dyDescent="0.25">
      <c r="A13" s="3">
        <v>42644</v>
      </c>
      <c r="B13" s="2" t="s">
        <v>16</v>
      </c>
      <c r="C13" s="44">
        <v>54.9</v>
      </c>
      <c r="D13" s="45">
        <v>1</v>
      </c>
      <c r="E13" s="44">
        <v>54.9</v>
      </c>
    </row>
    <row r="14" spans="1:5" x14ac:dyDescent="0.25">
      <c r="A14" s="3">
        <v>42644</v>
      </c>
      <c r="B14" s="2" t="s">
        <v>17</v>
      </c>
      <c r="C14" s="44">
        <v>373.3</v>
      </c>
      <c r="D14" s="45">
        <v>8</v>
      </c>
      <c r="E14" s="44">
        <v>46.662500000000001</v>
      </c>
    </row>
    <row r="15" spans="1:5" x14ac:dyDescent="0.25">
      <c r="A15" s="3">
        <v>42644</v>
      </c>
      <c r="B15" s="2" t="s">
        <v>18</v>
      </c>
      <c r="C15" s="44">
        <v>24.9</v>
      </c>
      <c r="D15" s="45">
        <v>1</v>
      </c>
      <c r="E15" s="44">
        <v>24.9</v>
      </c>
    </row>
    <row r="16" spans="1:5" x14ac:dyDescent="0.25">
      <c r="A16" s="3">
        <v>42644</v>
      </c>
      <c r="B16" s="2" t="s">
        <v>19</v>
      </c>
      <c r="C16" s="44">
        <v>29.99</v>
      </c>
      <c r="D16" s="45">
        <v>1</v>
      </c>
      <c r="E16" s="44">
        <v>29.99</v>
      </c>
    </row>
    <row r="17" spans="1:5" x14ac:dyDescent="0.25">
      <c r="A17" s="3">
        <v>42644</v>
      </c>
      <c r="B17" s="2" t="s">
        <v>20</v>
      </c>
      <c r="C17" s="44">
        <v>704.88</v>
      </c>
      <c r="D17" s="45">
        <v>5</v>
      </c>
      <c r="E17" s="44">
        <v>140.976</v>
      </c>
    </row>
    <row r="18" spans="1:5" x14ac:dyDescent="0.25">
      <c r="A18" s="3">
        <v>42644</v>
      </c>
      <c r="B18" s="2" t="s">
        <v>21</v>
      </c>
      <c r="C18" s="44">
        <v>79.900000000000006</v>
      </c>
      <c r="D18" s="45">
        <v>1</v>
      </c>
      <c r="E18" s="44">
        <v>79.900000000000006</v>
      </c>
    </row>
    <row r="19" spans="1:5" x14ac:dyDescent="0.25">
      <c r="A19" s="3">
        <v>42644</v>
      </c>
      <c r="B19" s="2" t="s">
        <v>22</v>
      </c>
      <c r="C19" s="44">
        <v>5690.52</v>
      </c>
      <c r="D19" s="45">
        <v>65</v>
      </c>
      <c r="E19" s="44">
        <v>87.546462000000005</v>
      </c>
    </row>
    <row r="20" spans="1:5" x14ac:dyDescent="0.25">
      <c r="A20" s="3">
        <v>42644</v>
      </c>
      <c r="B20" s="2" t="s">
        <v>23</v>
      </c>
      <c r="C20" s="44">
        <v>1359.88</v>
      </c>
      <c r="D20" s="45">
        <v>5</v>
      </c>
      <c r="E20" s="44">
        <v>271.976</v>
      </c>
    </row>
    <row r="21" spans="1:5" x14ac:dyDescent="0.25">
      <c r="A21" s="3">
        <v>42644</v>
      </c>
      <c r="B21" s="2" t="s">
        <v>5</v>
      </c>
      <c r="C21" s="44">
        <v>3439.25</v>
      </c>
      <c r="D21" s="45">
        <v>40</v>
      </c>
      <c r="E21" s="44">
        <v>85.981250000000003</v>
      </c>
    </row>
    <row r="22" spans="1:5" x14ac:dyDescent="0.25">
      <c r="A22" s="3">
        <v>42644</v>
      </c>
      <c r="B22" s="2" t="s">
        <v>24</v>
      </c>
      <c r="C22" s="44">
        <v>1287.07</v>
      </c>
      <c r="D22" s="45">
        <v>12</v>
      </c>
      <c r="E22" s="44">
        <v>107.255833</v>
      </c>
    </row>
    <row r="23" spans="1:5" x14ac:dyDescent="0.25">
      <c r="A23" s="3">
        <v>42644</v>
      </c>
      <c r="B23" s="2" t="s">
        <v>25</v>
      </c>
      <c r="C23" s="44">
        <v>359.6</v>
      </c>
      <c r="D23" s="45">
        <v>4</v>
      </c>
      <c r="E23" s="44">
        <v>89.9</v>
      </c>
    </row>
    <row r="24" spans="1:5" x14ac:dyDescent="0.25">
      <c r="A24" s="3">
        <v>42644</v>
      </c>
      <c r="B24" s="2" t="s">
        <v>26</v>
      </c>
      <c r="C24" s="44">
        <v>915.29</v>
      </c>
      <c r="D24" s="45">
        <v>11</v>
      </c>
      <c r="E24" s="44">
        <v>83.208181999999994</v>
      </c>
    </row>
    <row r="25" spans="1:5" x14ac:dyDescent="0.25">
      <c r="A25" s="3">
        <v>42644</v>
      </c>
      <c r="B25" s="2" t="s">
        <v>27</v>
      </c>
      <c r="C25" s="44">
        <v>1300.8800000000001</v>
      </c>
      <c r="D25" s="45">
        <v>6</v>
      </c>
      <c r="E25" s="44">
        <v>216.813333</v>
      </c>
    </row>
    <row r="26" spans="1:5" x14ac:dyDescent="0.25">
      <c r="A26" s="3">
        <v>42644</v>
      </c>
      <c r="B26" s="2" t="s">
        <v>28</v>
      </c>
      <c r="C26" s="44">
        <v>4829.1000000000004</v>
      </c>
      <c r="D26" s="45">
        <v>29</v>
      </c>
      <c r="E26" s="44">
        <v>166.52069</v>
      </c>
    </row>
    <row r="27" spans="1:5" x14ac:dyDescent="0.25">
      <c r="A27" s="3">
        <v>42644</v>
      </c>
      <c r="B27" s="2" t="s">
        <v>29</v>
      </c>
      <c r="C27" s="44">
        <v>689.68</v>
      </c>
      <c r="D27" s="45">
        <v>4</v>
      </c>
      <c r="E27" s="44">
        <v>172.42</v>
      </c>
    </row>
    <row r="28" spans="1:5" x14ac:dyDescent="0.25">
      <c r="A28" s="3">
        <v>42644</v>
      </c>
      <c r="B28" s="2" t="s">
        <v>30</v>
      </c>
      <c r="C28" s="44">
        <v>2012.15</v>
      </c>
      <c r="D28" s="45">
        <v>17</v>
      </c>
      <c r="E28" s="44">
        <v>118.36176500000001</v>
      </c>
    </row>
    <row r="29" spans="1:5" x14ac:dyDescent="0.25">
      <c r="A29" s="3">
        <v>42644</v>
      </c>
      <c r="B29" s="2" t="s">
        <v>31</v>
      </c>
      <c r="C29" s="44">
        <v>228.29</v>
      </c>
      <c r="D29" s="45">
        <v>8</v>
      </c>
      <c r="E29" s="44">
        <v>28.536249999999999</v>
      </c>
    </row>
    <row r="30" spans="1:5" x14ac:dyDescent="0.25">
      <c r="A30" s="3">
        <v>42644</v>
      </c>
      <c r="B30" s="2" t="s">
        <v>32</v>
      </c>
      <c r="C30" s="44">
        <v>4106.5</v>
      </c>
      <c r="D30" s="45">
        <v>24</v>
      </c>
      <c r="E30" s="44">
        <v>171.10416699999999</v>
      </c>
    </row>
    <row r="31" spans="1:5" x14ac:dyDescent="0.25">
      <c r="A31" s="3">
        <v>42644</v>
      </c>
      <c r="B31" s="2" t="s">
        <v>33</v>
      </c>
      <c r="C31" s="44">
        <v>65.89</v>
      </c>
      <c r="D31" s="45">
        <v>2</v>
      </c>
      <c r="E31" s="44">
        <v>32.945</v>
      </c>
    </row>
    <row r="32" spans="1:5" x14ac:dyDescent="0.25">
      <c r="A32" s="3">
        <v>42644</v>
      </c>
      <c r="B32" s="2" t="s">
        <v>34</v>
      </c>
      <c r="C32" s="44">
        <v>2711.07</v>
      </c>
      <c r="D32" s="45">
        <v>4</v>
      </c>
      <c r="E32" s="44">
        <v>677.76750000000004</v>
      </c>
    </row>
    <row r="33" spans="1:5" x14ac:dyDescent="0.25">
      <c r="A33" s="3">
        <v>42705</v>
      </c>
      <c r="B33" s="2" t="s">
        <v>17</v>
      </c>
      <c r="C33" s="44">
        <v>10.9</v>
      </c>
      <c r="D33" s="45">
        <v>1</v>
      </c>
      <c r="E33" s="44">
        <v>10.9</v>
      </c>
    </row>
    <row r="34" spans="1:5" x14ac:dyDescent="0.25">
      <c r="A34" s="3">
        <v>42736</v>
      </c>
      <c r="B34" s="2" t="s">
        <v>35</v>
      </c>
      <c r="C34" s="44">
        <v>65.97</v>
      </c>
      <c r="D34" s="45">
        <v>3</v>
      </c>
      <c r="E34" s="44">
        <v>21.99</v>
      </c>
    </row>
    <row r="35" spans="1:5" x14ac:dyDescent="0.25">
      <c r="A35" s="3">
        <v>42736</v>
      </c>
      <c r="B35" s="2" t="s">
        <v>6</v>
      </c>
      <c r="C35" s="44">
        <v>663.7</v>
      </c>
      <c r="D35" s="45">
        <v>4</v>
      </c>
      <c r="E35" s="44">
        <v>165.92500000000001</v>
      </c>
    </row>
    <row r="36" spans="1:5" x14ac:dyDescent="0.25">
      <c r="A36" s="3">
        <v>42736</v>
      </c>
      <c r="B36" s="2" t="s">
        <v>8</v>
      </c>
      <c r="C36" s="44">
        <v>4820.03</v>
      </c>
      <c r="D36" s="45">
        <v>31</v>
      </c>
      <c r="E36" s="44">
        <v>155.48483899999999</v>
      </c>
    </row>
    <row r="37" spans="1:5" x14ac:dyDescent="0.25">
      <c r="A37" s="3">
        <v>42736</v>
      </c>
      <c r="B37" s="2" t="s">
        <v>9</v>
      </c>
      <c r="C37" s="44">
        <v>6217.88</v>
      </c>
      <c r="D37" s="45">
        <v>40</v>
      </c>
      <c r="E37" s="44">
        <v>155.447</v>
      </c>
    </row>
    <row r="38" spans="1:5" x14ac:dyDescent="0.25">
      <c r="A38" s="3">
        <v>42736</v>
      </c>
      <c r="B38" s="2" t="s">
        <v>10</v>
      </c>
      <c r="C38" s="44">
        <v>3804.36</v>
      </c>
      <c r="D38" s="45">
        <v>46</v>
      </c>
      <c r="E38" s="44">
        <v>82.703478000000004</v>
      </c>
    </row>
    <row r="39" spans="1:5" x14ac:dyDescent="0.25">
      <c r="A39" s="3">
        <v>42736</v>
      </c>
      <c r="B39" s="2" t="s">
        <v>36</v>
      </c>
      <c r="C39" s="44">
        <v>234.89</v>
      </c>
      <c r="D39" s="45">
        <v>2</v>
      </c>
      <c r="E39" s="44">
        <v>117.44499999999999</v>
      </c>
    </row>
    <row r="40" spans="1:5" x14ac:dyDescent="0.25">
      <c r="A40" s="3">
        <v>42736</v>
      </c>
      <c r="B40" s="2" t="s">
        <v>37</v>
      </c>
      <c r="C40" s="44">
        <v>2199.9899999999998</v>
      </c>
      <c r="D40" s="45">
        <v>1</v>
      </c>
      <c r="E40" s="44">
        <v>2199.9899999999998</v>
      </c>
    </row>
    <row r="41" spans="1:5" x14ac:dyDescent="0.25">
      <c r="A41" s="3">
        <v>42736</v>
      </c>
      <c r="B41" s="2" t="s">
        <v>11</v>
      </c>
      <c r="C41" s="44">
        <v>3924.14</v>
      </c>
      <c r="D41" s="45">
        <v>31</v>
      </c>
      <c r="E41" s="44">
        <v>126.585161</v>
      </c>
    </row>
    <row r="42" spans="1:5" x14ac:dyDescent="0.25">
      <c r="A42" s="3">
        <v>42736</v>
      </c>
      <c r="B42" s="2" t="s">
        <v>12</v>
      </c>
      <c r="C42" s="44">
        <v>4514.4399999999996</v>
      </c>
      <c r="D42" s="45">
        <v>21</v>
      </c>
      <c r="E42" s="44">
        <v>214.973333</v>
      </c>
    </row>
    <row r="43" spans="1:5" x14ac:dyDescent="0.25">
      <c r="A43" s="3">
        <v>42736</v>
      </c>
      <c r="B43" s="2" t="s">
        <v>13</v>
      </c>
      <c r="C43" s="44">
        <v>6856.87</v>
      </c>
      <c r="D43" s="45">
        <v>37</v>
      </c>
      <c r="E43" s="44">
        <v>185.32081099999999</v>
      </c>
    </row>
    <row r="44" spans="1:5" x14ac:dyDescent="0.25">
      <c r="A44" s="3">
        <v>42736</v>
      </c>
      <c r="B44" s="2" t="s">
        <v>38</v>
      </c>
      <c r="C44" s="44">
        <v>29.8</v>
      </c>
      <c r="D44" s="45">
        <v>2</v>
      </c>
      <c r="E44" s="44">
        <v>14.9</v>
      </c>
    </row>
    <row r="45" spans="1:5" x14ac:dyDescent="0.25">
      <c r="A45" s="3">
        <v>42736</v>
      </c>
      <c r="B45" s="2" t="s">
        <v>15</v>
      </c>
      <c r="C45" s="44">
        <v>617</v>
      </c>
      <c r="D45" s="45">
        <v>11</v>
      </c>
      <c r="E45" s="44">
        <v>56.090909000000003</v>
      </c>
    </row>
    <row r="46" spans="1:5" x14ac:dyDescent="0.25">
      <c r="A46" s="3">
        <v>42736</v>
      </c>
      <c r="B46" s="2" t="s">
        <v>16</v>
      </c>
      <c r="C46" s="44">
        <v>77.3</v>
      </c>
      <c r="D46" s="45">
        <v>2</v>
      </c>
      <c r="E46" s="44">
        <v>38.65</v>
      </c>
    </row>
    <row r="47" spans="1:5" x14ac:dyDescent="0.25">
      <c r="A47" s="3">
        <v>42736</v>
      </c>
      <c r="B47" s="2" t="s">
        <v>17</v>
      </c>
      <c r="C47" s="44">
        <v>1671.97</v>
      </c>
      <c r="D47" s="45">
        <v>35</v>
      </c>
      <c r="E47" s="44">
        <v>47.770570999999997</v>
      </c>
    </row>
    <row r="48" spans="1:5" x14ac:dyDescent="0.25">
      <c r="A48" s="3">
        <v>42736</v>
      </c>
      <c r="B48" s="2" t="s">
        <v>18</v>
      </c>
      <c r="C48" s="44">
        <v>126.9</v>
      </c>
      <c r="D48" s="45">
        <v>1</v>
      </c>
      <c r="E48" s="44">
        <v>126.9</v>
      </c>
    </row>
    <row r="49" spans="1:5" x14ac:dyDescent="0.25">
      <c r="A49" s="3">
        <v>42736</v>
      </c>
      <c r="B49" s="2" t="s">
        <v>19</v>
      </c>
      <c r="C49" s="44">
        <v>34.9</v>
      </c>
      <c r="D49" s="45">
        <v>1</v>
      </c>
      <c r="E49" s="44">
        <v>34.9</v>
      </c>
    </row>
    <row r="50" spans="1:5" x14ac:dyDescent="0.25">
      <c r="A50" s="3">
        <v>42736</v>
      </c>
      <c r="B50" s="2" t="s">
        <v>39</v>
      </c>
      <c r="C50" s="44">
        <v>137.25</v>
      </c>
      <c r="D50" s="45">
        <v>2</v>
      </c>
      <c r="E50" s="44">
        <v>68.625</v>
      </c>
    </row>
    <row r="51" spans="1:5" x14ac:dyDescent="0.25">
      <c r="A51" s="3">
        <v>42736</v>
      </c>
      <c r="B51" s="2" t="s">
        <v>20</v>
      </c>
      <c r="C51" s="44">
        <v>677.12</v>
      </c>
      <c r="D51" s="45">
        <v>22</v>
      </c>
      <c r="E51" s="44">
        <v>30.778182000000001</v>
      </c>
    </row>
    <row r="52" spans="1:5" x14ac:dyDescent="0.25">
      <c r="A52" s="3">
        <v>42736</v>
      </c>
      <c r="B52" s="2" t="s">
        <v>21</v>
      </c>
      <c r="C52" s="44">
        <v>42.82</v>
      </c>
      <c r="D52" s="45">
        <v>2</v>
      </c>
      <c r="E52" s="44">
        <v>21.41</v>
      </c>
    </row>
    <row r="53" spans="1:5" x14ac:dyDescent="0.25">
      <c r="A53" s="3">
        <v>42736</v>
      </c>
      <c r="B53" s="2" t="s">
        <v>40</v>
      </c>
      <c r="C53" s="44">
        <v>73.2</v>
      </c>
      <c r="D53" s="45">
        <v>8</v>
      </c>
      <c r="E53" s="44">
        <v>9.15</v>
      </c>
    </row>
    <row r="54" spans="1:5" x14ac:dyDescent="0.25">
      <c r="A54" s="3">
        <v>42736</v>
      </c>
      <c r="B54" s="2" t="s">
        <v>22</v>
      </c>
      <c r="C54" s="44">
        <v>13036.63</v>
      </c>
      <c r="D54" s="45">
        <v>177</v>
      </c>
      <c r="E54" s="44">
        <v>73.653277000000003</v>
      </c>
    </row>
    <row r="55" spans="1:5" x14ac:dyDescent="0.25">
      <c r="A55" s="3">
        <v>42736</v>
      </c>
      <c r="B55" s="2" t="s">
        <v>41</v>
      </c>
      <c r="C55" s="44">
        <v>1241.9000000000001</v>
      </c>
      <c r="D55" s="45">
        <v>10</v>
      </c>
      <c r="E55" s="44">
        <v>124.19</v>
      </c>
    </row>
    <row r="56" spans="1:5" x14ac:dyDescent="0.25">
      <c r="A56" s="3">
        <v>42736</v>
      </c>
      <c r="B56" s="2" t="s">
        <v>23</v>
      </c>
      <c r="C56" s="44">
        <v>7466.95</v>
      </c>
      <c r="D56" s="45">
        <v>54</v>
      </c>
      <c r="E56" s="44">
        <v>138.27685199999999</v>
      </c>
    </row>
    <row r="57" spans="1:5" x14ac:dyDescent="0.25">
      <c r="A57" s="3">
        <v>42736</v>
      </c>
      <c r="B57" s="2" t="s">
        <v>5</v>
      </c>
      <c r="C57" s="44">
        <v>12366.44</v>
      </c>
      <c r="D57" s="45">
        <v>82</v>
      </c>
      <c r="E57" s="44">
        <v>150.81024400000001</v>
      </c>
    </row>
    <row r="58" spans="1:5" x14ac:dyDescent="0.25">
      <c r="A58" s="3">
        <v>42736</v>
      </c>
      <c r="B58" s="2" t="s">
        <v>42</v>
      </c>
      <c r="C58" s="44">
        <v>1916.78</v>
      </c>
      <c r="D58" s="45">
        <v>7</v>
      </c>
      <c r="E58" s="44">
        <v>273.825714</v>
      </c>
    </row>
    <row r="59" spans="1:5" x14ac:dyDescent="0.25">
      <c r="A59" s="3">
        <v>42736</v>
      </c>
      <c r="B59" s="2" t="s">
        <v>43</v>
      </c>
      <c r="C59" s="44">
        <v>72.8</v>
      </c>
      <c r="D59" s="45">
        <v>2</v>
      </c>
      <c r="E59" s="44">
        <v>36.4</v>
      </c>
    </row>
    <row r="60" spans="1:5" x14ac:dyDescent="0.25">
      <c r="A60" s="3">
        <v>42736</v>
      </c>
      <c r="B60" s="2" t="s">
        <v>24</v>
      </c>
      <c r="C60" s="44">
        <v>2827.58</v>
      </c>
      <c r="D60" s="45">
        <v>28</v>
      </c>
      <c r="E60" s="44">
        <v>100.985</v>
      </c>
    </row>
    <row r="61" spans="1:5" x14ac:dyDescent="0.25">
      <c r="A61" s="3">
        <v>42736</v>
      </c>
      <c r="B61" s="2" t="s">
        <v>44</v>
      </c>
      <c r="C61" s="44">
        <v>110</v>
      </c>
      <c r="D61" s="45">
        <v>1</v>
      </c>
      <c r="E61" s="44">
        <v>110</v>
      </c>
    </row>
    <row r="62" spans="1:5" x14ac:dyDescent="0.25">
      <c r="A62" s="3">
        <v>42736</v>
      </c>
      <c r="B62" s="2" t="s">
        <v>45</v>
      </c>
      <c r="C62" s="44">
        <v>492.5</v>
      </c>
      <c r="D62" s="45">
        <v>5</v>
      </c>
      <c r="E62" s="44">
        <v>98.5</v>
      </c>
    </row>
    <row r="63" spans="1:5" x14ac:dyDescent="0.25">
      <c r="A63" s="3">
        <v>42736</v>
      </c>
      <c r="B63" s="2" t="s">
        <v>26</v>
      </c>
      <c r="C63" s="44">
        <v>414.14</v>
      </c>
      <c r="D63" s="45">
        <v>5</v>
      </c>
      <c r="E63" s="44">
        <v>82.828000000000003</v>
      </c>
    </row>
    <row r="64" spans="1:5" x14ac:dyDescent="0.25">
      <c r="A64" s="3">
        <v>42736</v>
      </c>
      <c r="B64" s="2" t="s">
        <v>46</v>
      </c>
      <c r="C64" s="44">
        <v>19.8</v>
      </c>
      <c r="D64" s="45">
        <v>2</v>
      </c>
      <c r="E64" s="44">
        <v>9.9</v>
      </c>
    </row>
    <row r="65" spans="1:5" x14ac:dyDescent="0.25">
      <c r="A65" s="3">
        <v>42736</v>
      </c>
      <c r="B65" s="2" t="s">
        <v>47</v>
      </c>
      <c r="C65" s="44">
        <v>339.74</v>
      </c>
      <c r="D65" s="45">
        <v>1</v>
      </c>
      <c r="E65" s="44">
        <v>339.74</v>
      </c>
    </row>
    <row r="66" spans="1:5" x14ac:dyDescent="0.25">
      <c r="A66" s="3">
        <v>42736</v>
      </c>
      <c r="B66" s="2" t="s">
        <v>27</v>
      </c>
      <c r="C66" s="44">
        <v>1158.3499999999999</v>
      </c>
      <c r="D66" s="45">
        <v>8</v>
      </c>
      <c r="E66" s="44">
        <v>144.79374999999999</v>
      </c>
    </row>
    <row r="67" spans="1:5" x14ac:dyDescent="0.25">
      <c r="A67" s="3">
        <v>42736</v>
      </c>
      <c r="B67" s="2" t="s">
        <v>28</v>
      </c>
      <c r="C67" s="44">
        <v>5112.6000000000004</v>
      </c>
      <c r="D67" s="45">
        <v>34</v>
      </c>
      <c r="E67" s="44">
        <v>150.370588</v>
      </c>
    </row>
    <row r="68" spans="1:5" x14ac:dyDescent="0.25">
      <c r="A68" s="3">
        <v>42736</v>
      </c>
      <c r="B68" s="2" t="s">
        <v>29</v>
      </c>
      <c r="C68" s="44">
        <v>799.12</v>
      </c>
      <c r="D68" s="45">
        <v>14</v>
      </c>
      <c r="E68" s="44">
        <v>57.08</v>
      </c>
    </row>
    <row r="69" spans="1:5" x14ac:dyDescent="0.25">
      <c r="A69" s="3">
        <v>42736</v>
      </c>
      <c r="B69" s="2" t="s">
        <v>48</v>
      </c>
      <c r="C69" s="44">
        <v>183.29</v>
      </c>
      <c r="D69" s="45">
        <v>1</v>
      </c>
      <c r="E69" s="44">
        <v>183.29</v>
      </c>
    </row>
    <row r="70" spans="1:5" x14ac:dyDescent="0.25">
      <c r="A70" s="3">
        <v>42736</v>
      </c>
      <c r="B70" s="2" t="s">
        <v>49</v>
      </c>
      <c r="C70" s="44">
        <v>1660.79</v>
      </c>
      <c r="D70" s="45">
        <v>6</v>
      </c>
      <c r="E70" s="44">
        <v>276.79833300000001</v>
      </c>
    </row>
    <row r="71" spans="1:5" x14ac:dyDescent="0.25">
      <c r="A71" s="3">
        <v>42736</v>
      </c>
      <c r="B71" s="2" t="s">
        <v>30</v>
      </c>
      <c r="C71" s="44">
        <v>9212.14</v>
      </c>
      <c r="D71" s="45">
        <v>74</v>
      </c>
      <c r="E71" s="44">
        <v>124.488378</v>
      </c>
    </row>
    <row r="72" spans="1:5" x14ac:dyDescent="0.25">
      <c r="A72" s="3">
        <v>42736</v>
      </c>
      <c r="B72" s="2" t="s">
        <v>50</v>
      </c>
      <c r="C72" s="44">
        <v>1561.99</v>
      </c>
      <c r="D72" s="45">
        <v>14</v>
      </c>
      <c r="E72" s="44">
        <v>111.570714</v>
      </c>
    </row>
    <row r="73" spans="1:5" x14ac:dyDescent="0.25">
      <c r="A73" s="3">
        <v>42736</v>
      </c>
      <c r="B73" s="2" t="s">
        <v>31</v>
      </c>
      <c r="C73" s="44">
        <v>755.94</v>
      </c>
      <c r="D73" s="45">
        <v>22</v>
      </c>
      <c r="E73" s="44">
        <v>34.360908999999999</v>
      </c>
    </row>
    <row r="74" spans="1:5" x14ac:dyDescent="0.25">
      <c r="A74" s="3">
        <v>42736</v>
      </c>
      <c r="B74" s="2" t="s">
        <v>32</v>
      </c>
      <c r="C74" s="44">
        <v>4568.1899999999996</v>
      </c>
      <c r="D74" s="45">
        <v>41</v>
      </c>
      <c r="E74" s="44">
        <v>111.419268</v>
      </c>
    </row>
    <row r="75" spans="1:5" x14ac:dyDescent="0.25">
      <c r="A75" s="3">
        <v>42736</v>
      </c>
      <c r="B75" s="2" t="s">
        <v>33</v>
      </c>
      <c r="C75" s="44">
        <v>1603.64</v>
      </c>
      <c r="D75" s="45">
        <v>12</v>
      </c>
      <c r="E75" s="44">
        <v>133.63666699999999</v>
      </c>
    </row>
    <row r="76" spans="1:5" x14ac:dyDescent="0.25">
      <c r="A76" s="3">
        <v>42736</v>
      </c>
      <c r="B76" s="2" t="s">
        <v>34</v>
      </c>
      <c r="C76" s="44">
        <v>8086.52</v>
      </c>
      <c r="D76" s="45">
        <v>11</v>
      </c>
      <c r="E76" s="44">
        <v>735.13818200000003</v>
      </c>
    </row>
    <row r="77" spans="1:5" x14ac:dyDescent="0.25">
      <c r="A77" s="3">
        <v>42767</v>
      </c>
      <c r="B77" s="2" t="s">
        <v>35</v>
      </c>
      <c r="C77" s="44">
        <v>224.84</v>
      </c>
      <c r="D77" s="45">
        <v>7</v>
      </c>
      <c r="E77" s="44">
        <v>32.119999999999997</v>
      </c>
    </row>
    <row r="78" spans="1:5" x14ac:dyDescent="0.25">
      <c r="A78" s="3">
        <v>42767</v>
      </c>
      <c r="B78" s="2" t="s">
        <v>6</v>
      </c>
      <c r="C78" s="44">
        <v>2405.3000000000002</v>
      </c>
      <c r="D78" s="45">
        <v>11</v>
      </c>
      <c r="E78" s="44">
        <v>218.663636</v>
      </c>
    </row>
    <row r="79" spans="1:5" x14ac:dyDescent="0.25">
      <c r="A79" s="3">
        <v>42767</v>
      </c>
      <c r="B79" s="2" t="s">
        <v>7</v>
      </c>
      <c r="C79" s="44">
        <v>163.80000000000001</v>
      </c>
      <c r="D79" s="45">
        <v>5</v>
      </c>
      <c r="E79" s="44">
        <v>32.76</v>
      </c>
    </row>
    <row r="80" spans="1:5" x14ac:dyDescent="0.25">
      <c r="A80" s="3">
        <v>42767</v>
      </c>
      <c r="B80" s="2" t="s">
        <v>8</v>
      </c>
      <c r="C80" s="44">
        <v>12358.78</v>
      </c>
      <c r="D80" s="45">
        <v>83</v>
      </c>
      <c r="E80" s="44">
        <v>148.90096399999999</v>
      </c>
    </row>
    <row r="81" spans="1:5" x14ac:dyDescent="0.25">
      <c r="A81" s="3">
        <v>42767</v>
      </c>
      <c r="B81" s="2" t="s">
        <v>9</v>
      </c>
      <c r="C81" s="44">
        <v>2837.58</v>
      </c>
      <c r="D81" s="45">
        <v>32</v>
      </c>
      <c r="E81" s="44">
        <v>88.674374999999998</v>
      </c>
    </row>
    <row r="82" spans="1:5" x14ac:dyDescent="0.25">
      <c r="A82" s="3">
        <v>42767</v>
      </c>
      <c r="B82" s="2" t="s">
        <v>10</v>
      </c>
      <c r="C82" s="44">
        <v>15572.13</v>
      </c>
      <c r="D82" s="45">
        <v>157</v>
      </c>
      <c r="E82" s="44">
        <v>99.185541000000001</v>
      </c>
    </row>
    <row r="83" spans="1:5" x14ac:dyDescent="0.25">
      <c r="A83" s="3">
        <v>42767</v>
      </c>
      <c r="B83" s="2" t="s">
        <v>36</v>
      </c>
      <c r="C83" s="44">
        <v>772.71</v>
      </c>
      <c r="D83" s="45">
        <v>8</v>
      </c>
      <c r="E83" s="44">
        <v>96.588750000000005</v>
      </c>
    </row>
    <row r="84" spans="1:5" x14ac:dyDescent="0.25">
      <c r="A84" s="3">
        <v>42767</v>
      </c>
      <c r="B84" s="2" t="s">
        <v>51</v>
      </c>
      <c r="C84" s="44">
        <v>159</v>
      </c>
      <c r="D84" s="45">
        <v>1</v>
      </c>
      <c r="E84" s="44">
        <v>159</v>
      </c>
    </row>
    <row r="85" spans="1:5" x14ac:dyDescent="0.25">
      <c r="A85" s="3">
        <v>42767</v>
      </c>
      <c r="B85" s="2" t="s">
        <v>52</v>
      </c>
      <c r="C85" s="44">
        <v>59</v>
      </c>
      <c r="D85" s="45">
        <v>1</v>
      </c>
      <c r="E85" s="44">
        <v>59</v>
      </c>
    </row>
    <row r="86" spans="1:5" x14ac:dyDescent="0.25">
      <c r="A86" s="3">
        <v>42767</v>
      </c>
      <c r="B86" s="2" t="s">
        <v>37</v>
      </c>
      <c r="C86" s="44">
        <v>3549</v>
      </c>
      <c r="D86" s="45">
        <v>1</v>
      </c>
      <c r="E86" s="44">
        <v>3549</v>
      </c>
    </row>
    <row r="87" spans="1:5" x14ac:dyDescent="0.25">
      <c r="A87" s="3">
        <v>42767</v>
      </c>
      <c r="B87" s="2" t="s">
        <v>11</v>
      </c>
      <c r="C87" s="44">
        <v>11319.09</v>
      </c>
      <c r="D87" s="45">
        <v>100</v>
      </c>
      <c r="E87" s="44">
        <v>113.1909</v>
      </c>
    </row>
    <row r="88" spans="1:5" x14ac:dyDescent="0.25">
      <c r="A88" s="3">
        <v>42767</v>
      </c>
      <c r="B88" s="2" t="s">
        <v>12</v>
      </c>
      <c r="C88" s="44">
        <v>4294.7700000000004</v>
      </c>
      <c r="D88" s="45">
        <v>18</v>
      </c>
      <c r="E88" s="44">
        <v>238.598333</v>
      </c>
    </row>
    <row r="89" spans="1:5" x14ac:dyDescent="0.25">
      <c r="A89" s="3">
        <v>42767</v>
      </c>
      <c r="B89" s="2" t="s">
        <v>53</v>
      </c>
      <c r="C89" s="44">
        <v>336.79</v>
      </c>
      <c r="D89" s="45">
        <v>3</v>
      </c>
      <c r="E89" s="44">
        <v>112.263333</v>
      </c>
    </row>
    <row r="90" spans="1:5" x14ac:dyDescent="0.25">
      <c r="A90" s="3">
        <v>42767</v>
      </c>
      <c r="B90" s="2" t="s">
        <v>54</v>
      </c>
      <c r="C90" s="44">
        <v>379</v>
      </c>
      <c r="D90" s="45">
        <v>1</v>
      </c>
      <c r="E90" s="44">
        <v>379</v>
      </c>
    </row>
    <row r="91" spans="1:5" x14ac:dyDescent="0.25">
      <c r="A91" s="3">
        <v>42767</v>
      </c>
      <c r="B91" s="2" t="s">
        <v>13</v>
      </c>
      <c r="C91" s="44">
        <v>12454.6</v>
      </c>
      <c r="D91" s="45">
        <v>69</v>
      </c>
      <c r="E91" s="44">
        <v>180.50144900000001</v>
      </c>
    </row>
    <row r="92" spans="1:5" x14ac:dyDescent="0.25">
      <c r="A92" s="3">
        <v>42767</v>
      </c>
      <c r="B92" s="2" t="s">
        <v>55</v>
      </c>
      <c r="C92" s="44">
        <v>579.98</v>
      </c>
      <c r="D92" s="45">
        <v>2</v>
      </c>
      <c r="E92" s="44">
        <v>289.99</v>
      </c>
    </row>
    <row r="93" spans="1:5" x14ac:dyDescent="0.25">
      <c r="A93" s="3">
        <v>42767</v>
      </c>
      <c r="B93" s="2" t="s">
        <v>38</v>
      </c>
      <c r="C93" s="44">
        <v>14.9</v>
      </c>
      <c r="D93" s="45">
        <v>1</v>
      </c>
      <c r="E93" s="44">
        <v>14.9</v>
      </c>
    </row>
    <row r="94" spans="1:5" x14ac:dyDescent="0.25">
      <c r="A94" s="3">
        <v>42767</v>
      </c>
      <c r="B94" s="2" t="s">
        <v>15</v>
      </c>
      <c r="C94" s="44">
        <v>1218.8499999999999</v>
      </c>
      <c r="D94" s="45">
        <v>19</v>
      </c>
      <c r="E94" s="44">
        <v>64.150000000000006</v>
      </c>
    </row>
    <row r="95" spans="1:5" x14ac:dyDescent="0.25">
      <c r="A95" s="3">
        <v>42767</v>
      </c>
      <c r="B95" s="2" t="s">
        <v>16</v>
      </c>
      <c r="C95" s="44">
        <v>363.9</v>
      </c>
      <c r="D95" s="45">
        <v>3</v>
      </c>
      <c r="E95" s="44">
        <v>121.3</v>
      </c>
    </row>
    <row r="96" spans="1:5" x14ac:dyDescent="0.25">
      <c r="A96" s="3">
        <v>42767</v>
      </c>
      <c r="B96" s="2" t="s">
        <v>17</v>
      </c>
      <c r="C96" s="44">
        <v>2170.31</v>
      </c>
      <c r="D96" s="45">
        <v>36</v>
      </c>
      <c r="E96" s="44">
        <v>60.286389</v>
      </c>
    </row>
    <row r="97" spans="1:5" x14ac:dyDescent="0.25">
      <c r="A97" s="3">
        <v>42767</v>
      </c>
      <c r="B97" s="2" t="s">
        <v>18</v>
      </c>
      <c r="C97" s="44">
        <v>545.95000000000005</v>
      </c>
      <c r="D97" s="45">
        <v>6</v>
      </c>
      <c r="E97" s="44">
        <v>90.991667000000007</v>
      </c>
    </row>
    <row r="98" spans="1:5" x14ac:dyDescent="0.25">
      <c r="A98" s="3">
        <v>42767</v>
      </c>
      <c r="B98" s="2" t="s">
        <v>19</v>
      </c>
      <c r="C98" s="44">
        <v>107.05</v>
      </c>
      <c r="D98" s="45">
        <v>3</v>
      </c>
      <c r="E98" s="44">
        <v>35.683332999999998</v>
      </c>
    </row>
    <row r="99" spans="1:5" x14ac:dyDescent="0.25">
      <c r="A99" s="3">
        <v>42767</v>
      </c>
      <c r="B99" s="2" t="s">
        <v>39</v>
      </c>
      <c r="C99" s="44">
        <v>396.97</v>
      </c>
      <c r="D99" s="45">
        <v>8</v>
      </c>
      <c r="E99" s="44">
        <v>49.621250000000003</v>
      </c>
    </row>
    <row r="100" spans="1:5" x14ac:dyDescent="0.25">
      <c r="A100" s="3">
        <v>42767</v>
      </c>
      <c r="B100" s="2" t="s">
        <v>20</v>
      </c>
      <c r="C100" s="44">
        <v>759.23</v>
      </c>
      <c r="D100" s="45">
        <v>22</v>
      </c>
      <c r="E100" s="44">
        <v>34.510455</v>
      </c>
    </row>
    <row r="101" spans="1:5" x14ac:dyDescent="0.25">
      <c r="A101" s="3">
        <v>42767</v>
      </c>
      <c r="B101" s="2" t="s">
        <v>21</v>
      </c>
      <c r="C101" s="44">
        <v>676.73</v>
      </c>
      <c r="D101" s="45">
        <v>8</v>
      </c>
      <c r="E101" s="44">
        <v>84.591250000000002</v>
      </c>
    </row>
    <row r="102" spans="1:5" x14ac:dyDescent="0.25">
      <c r="A102" s="3">
        <v>42767</v>
      </c>
      <c r="B102" s="2" t="s">
        <v>40</v>
      </c>
      <c r="C102" s="44">
        <v>450</v>
      </c>
      <c r="D102" s="45">
        <v>1</v>
      </c>
      <c r="E102" s="44">
        <v>450</v>
      </c>
    </row>
    <row r="103" spans="1:5" x14ac:dyDescent="0.25">
      <c r="A103" s="3">
        <v>42767</v>
      </c>
      <c r="B103" s="2" t="s">
        <v>22</v>
      </c>
      <c r="C103" s="44">
        <v>19926.41</v>
      </c>
      <c r="D103" s="45">
        <v>257</v>
      </c>
      <c r="E103" s="44">
        <v>77.534668999999994</v>
      </c>
    </row>
    <row r="104" spans="1:5" x14ac:dyDescent="0.25">
      <c r="A104" s="3">
        <v>42767</v>
      </c>
      <c r="B104" s="2" t="s">
        <v>41</v>
      </c>
      <c r="C104" s="44">
        <v>3409.64</v>
      </c>
      <c r="D104" s="45">
        <v>21</v>
      </c>
      <c r="E104" s="44">
        <v>162.36381</v>
      </c>
    </row>
    <row r="105" spans="1:5" x14ac:dyDescent="0.25">
      <c r="A105" s="3">
        <v>42767</v>
      </c>
      <c r="B105" s="2" t="s">
        <v>23</v>
      </c>
      <c r="C105" s="44">
        <v>11734.62</v>
      </c>
      <c r="D105" s="45">
        <v>69</v>
      </c>
      <c r="E105" s="44">
        <v>170.066957</v>
      </c>
    </row>
    <row r="106" spans="1:5" x14ac:dyDescent="0.25">
      <c r="A106" s="3">
        <v>42767</v>
      </c>
      <c r="B106" s="2" t="s">
        <v>5</v>
      </c>
      <c r="C106" s="44">
        <v>22059.919999999998</v>
      </c>
      <c r="D106" s="45">
        <v>154</v>
      </c>
      <c r="E106" s="44">
        <v>143.24623399999999</v>
      </c>
    </row>
    <row r="107" spans="1:5" x14ac:dyDescent="0.25">
      <c r="A107" s="3">
        <v>42767</v>
      </c>
      <c r="B107" s="2" t="s">
        <v>56</v>
      </c>
      <c r="C107" s="44">
        <v>740.9</v>
      </c>
      <c r="D107" s="45">
        <v>7</v>
      </c>
      <c r="E107" s="44">
        <v>105.842857</v>
      </c>
    </row>
    <row r="108" spans="1:5" x14ac:dyDescent="0.25">
      <c r="A108" s="3">
        <v>42767</v>
      </c>
      <c r="B108" s="2" t="s">
        <v>42</v>
      </c>
      <c r="C108" s="44">
        <v>15.99</v>
      </c>
      <c r="D108" s="45">
        <v>1</v>
      </c>
      <c r="E108" s="44">
        <v>15.99</v>
      </c>
    </row>
    <row r="109" spans="1:5" x14ac:dyDescent="0.25">
      <c r="A109" s="3">
        <v>42767</v>
      </c>
      <c r="B109" s="2" t="s">
        <v>57</v>
      </c>
      <c r="C109" s="44">
        <v>414.66</v>
      </c>
      <c r="D109" s="45">
        <v>3</v>
      </c>
      <c r="E109" s="44">
        <v>138.22</v>
      </c>
    </row>
    <row r="110" spans="1:5" x14ac:dyDescent="0.25">
      <c r="A110" s="3">
        <v>42767</v>
      </c>
      <c r="B110" s="2" t="s">
        <v>58</v>
      </c>
      <c r="C110" s="44">
        <v>695.6</v>
      </c>
      <c r="D110" s="45">
        <v>4</v>
      </c>
      <c r="E110" s="44">
        <v>173.9</v>
      </c>
    </row>
    <row r="111" spans="1:5" x14ac:dyDescent="0.25">
      <c r="A111" s="3">
        <v>42767</v>
      </c>
      <c r="B111" s="2" t="s">
        <v>24</v>
      </c>
      <c r="C111" s="44">
        <v>11295.34</v>
      </c>
      <c r="D111" s="45">
        <v>69</v>
      </c>
      <c r="E111" s="44">
        <v>163.70058</v>
      </c>
    </row>
    <row r="112" spans="1:5" x14ac:dyDescent="0.25">
      <c r="A112" s="3">
        <v>42767</v>
      </c>
      <c r="B112" s="2" t="s">
        <v>25</v>
      </c>
      <c r="C112" s="44">
        <v>119</v>
      </c>
      <c r="D112" s="45">
        <v>1</v>
      </c>
      <c r="E112" s="44">
        <v>119</v>
      </c>
    </row>
    <row r="113" spans="1:5" x14ac:dyDescent="0.25">
      <c r="A113" s="3">
        <v>42767</v>
      </c>
      <c r="B113" s="2" t="s">
        <v>44</v>
      </c>
      <c r="C113" s="44">
        <v>139.9</v>
      </c>
      <c r="D113" s="45">
        <v>2</v>
      </c>
      <c r="E113" s="44">
        <v>69.95</v>
      </c>
    </row>
    <row r="114" spans="1:5" x14ac:dyDescent="0.25">
      <c r="A114" s="3">
        <v>42767</v>
      </c>
      <c r="B114" s="2" t="s">
        <v>45</v>
      </c>
      <c r="C114" s="44">
        <v>1659.19</v>
      </c>
      <c r="D114" s="45">
        <v>20</v>
      </c>
      <c r="E114" s="44">
        <v>82.959500000000006</v>
      </c>
    </row>
    <row r="115" spans="1:5" x14ac:dyDescent="0.25">
      <c r="A115" s="3">
        <v>42767</v>
      </c>
      <c r="B115" s="2" t="s">
        <v>26</v>
      </c>
      <c r="C115" s="44">
        <v>1574.22</v>
      </c>
      <c r="D115" s="45">
        <v>20</v>
      </c>
      <c r="E115" s="44">
        <v>78.710999999999999</v>
      </c>
    </row>
    <row r="116" spans="1:5" x14ac:dyDescent="0.25">
      <c r="A116" s="3">
        <v>42767</v>
      </c>
      <c r="B116" s="2" t="s">
        <v>47</v>
      </c>
      <c r="C116" s="44">
        <v>2221.2800000000002</v>
      </c>
      <c r="D116" s="45">
        <v>9</v>
      </c>
      <c r="E116" s="44">
        <v>246.80888899999999</v>
      </c>
    </row>
    <row r="117" spans="1:5" x14ac:dyDescent="0.25">
      <c r="A117" s="3">
        <v>42767</v>
      </c>
      <c r="B117" s="2" t="s">
        <v>27</v>
      </c>
      <c r="C117" s="44">
        <v>10845.98</v>
      </c>
      <c r="D117" s="45">
        <v>62</v>
      </c>
      <c r="E117" s="44">
        <v>174.93516099999999</v>
      </c>
    </row>
    <row r="118" spans="1:5" x14ac:dyDescent="0.25">
      <c r="A118" s="3">
        <v>42767</v>
      </c>
      <c r="B118" s="2" t="s">
        <v>28</v>
      </c>
      <c r="C118" s="44">
        <v>8040.38</v>
      </c>
      <c r="D118" s="45">
        <v>49</v>
      </c>
      <c r="E118" s="44">
        <v>164.08938800000001</v>
      </c>
    </row>
    <row r="119" spans="1:5" x14ac:dyDescent="0.25">
      <c r="A119" s="3">
        <v>42767</v>
      </c>
      <c r="B119" s="2" t="s">
        <v>29</v>
      </c>
      <c r="C119" s="44">
        <v>3584.87</v>
      </c>
      <c r="D119" s="45">
        <v>39</v>
      </c>
      <c r="E119" s="44">
        <v>91.919743999999994</v>
      </c>
    </row>
    <row r="120" spans="1:5" x14ac:dyDescent="0.25">
      <c r="A120" s="3">
        <v>42767</v>
      </c>
      <c r="B120" s="2" t="s">
        <v>49</v>
      </c>
      <c r="C120" s="44">
        <v>7251.58</v>
      </c>
      <c r="D120" s="45">
        <v>28</v>
      </c>
      <c r="E120" s="44">
        <v>258.98500000000001</v>
      </c>
    </row>
    <row r="121" spans="1:5" x14ac:dyDescent="0.25">
      <c r="A121" s="3">
        <v>42767</v>
      </c>
      <c r="B121" s="2" t="s">
        <v>30</v>
      </c>
      <c r="C121" s="44">
        <v>15629.98</v>
      </c>
      <c r="D121" s="45">
        <v>149</v>
      </c>
      <c r="E121" s="44">
        <v>104.89919500000001</v>
      </c>
    </row>
    <row r="122" spans="1:5" x14ac:dyDescent="0.25">
      <c r="A122" s="3">
        <v>42767</v>
      </c>
      <c r="B122" s="2" t="s">
        <v>50</v>
      </c>
      <c r="C122" s="44">
        <v>2341.4</v>
      </c>
      <c r="D122" s="45">
        <v>19</v>
      </c>
      <c r="E122" s="44">
        <v>123.231579</v>
      </c>
    </row>
    <row r="123" spans="1:5" x14ac:dyDescent="0.25">
      <c r="A123" s="3">
        <v>42767</v>
      </c>
      <c r="B123" s="2" t="s">
        <v>59</v>
      </c>
      <c r="C123" s="44">
        <v>792</v>
      </c>
      <c r="D123" s="45">
        <v>8</v>
      </c>
      <c r="E123" s="44">
        <v>99</v>
      </c>
    </row>
    <row r="124" spans="1:5" x14ac:dyDescent="0.25">
      <c r="A124" s="3">
        <v>42767</v>
      </c>
      <c r="B124" s="2" t="s">
        <v>31</v>
      </c>
      <c r="C124" s="44">
        <v>6693.34</v>
      </c>
      <c r="D124" s="45">
        <v>106</v>
      </c>
      <c r="E124" s="44">
        <v>63.144717</v>
      </c>
    </row>
    <row r="125" spans="1:5" x14ac:dyDescent="0.25">
      <c r="A125" s="3">
        <v>42767</v>
      </c>
      <c r="B125" s="2" t="s">
        <v>32</v>
      </c>
      <c r="C125" s="44">
        <v>9353.44</v>
      </c>
      <c r="D125" s="45">
        <v>66</v>
      </c>
      <c r="E125" s="44">
        <v>141.71878799999999</v>
      </c>
    </row>
    <row r="126" spans="1:5" x14ac:dyDescent="0.25">
      <c r="A126" s="3">
        <v>42767</v>
      </c>
      <c r="B126" s="2" t="s">
        <v>33</v>
      </c>
      <c r="C126" s="44">
        <v>8521.11</v>
      </c>
      <c r="D126" s="45">
        <v>56</v>
      </c>
      <c r="E126" s="44">
        <v>152.162679</v>
      </c>
    </row>
    <row r="127" spans="1:5" x14ac:dyDescent="0.25">
      <c r="A127" s="3">
        <v>42767</v>
      </c>
      <c r="B127" s="2" t="s">
        <v>34</v>
      </c>
      <c r="C127" s="44">
        <v>10992.39</v>
      </c>
      <c r="D127" s="45">
        <v>33</v>
      </c>
      <c r="E127" s="44">
        <v>333.10272700000002</v>
      </c>
    </row>
    <row r="128" spans="1:5" x14ac:dyDescent="0.25">
      <c r="A128" s="3">
        <v>42795</v>
      </c>
      <c r="B128" s="2" t="s">
        <v>35</v>
      </c>
      <c r="C128" s="44">
        <v>81.99</v>
      </c>
      <c r="D128" s="45">
        <v>2</v>
      </c>
      <c r="E128" s="44">
        <v>40.994999999999997</v>
      </c>
    </row>
    <row r="129" spans="1:5" x14ac:dyDescent="0.25">
      <c r="A129" s="3">
        <v>42795</v>
      </c>
      <c r="B129" s="2" t="s">
        <v>6</v>
      </c>
      <c r="C129" s="44">
        <v>4103.8100000000004</v>
      </c>
      <c r="D129" s="45">
        <v>17</v>
      </c>
      <c r="E129" s="44">
        <v>241.400588</v>
      </c>
    </row>
    <row r="130" spans="1:5" x14ac:dyDescent="0.25">
      <c r="A130" s="3">
        <v>42795</v>
      </c>
      <c r="B130" s="2" t="s">
        <v>60</v>
      </c>
      <c r="C130" s="44">
        <v>174.6</v>
      </c>
      <c r="D130" s="45">
        <v>4</v>
      </c>
      <c r="E130" s="44">
        <v>43.65</v>
      </c>
    </row>
    <row r="131" spans="1:5" x14ac:dyDescent="0.25">
      <c r="A131" s="3">
        <v>42795</v>
      </c>
      <c r="B131" s="2" t="s">
        <v>7</v>
      </c>
      <c r="C131" s="44">
        <v>1134.77</v>
      </c>
      <c r="D131" s="45">
        <v>14</v>
      </c>
      <c r="E131" s="44">
        <v>81.055000000000007</v>
      </c>
    </row>
    <row r="132" spans="1:5" x14ac:dyDescent="0.25">
      <c r="A132" s="3">
        <v>42795</v>
      </c>
      <c r="B132" s="2" t="s">
        <v>8</v>
      </c>
      <c r="C132" s="44">
        <v>13272.93</v>
      </c>
      <c r="D132" s="45">
        <v>78</v>
      </c>
      <c r="E132" s="44">
        <v>170.16576900000001</v>
      </c>
    </row>
    <row r="133" spans="1:5" x14ac:dyDescent="0.25">
      <c r="A133" s="3">
        <v>42795</v>
      </c>
      <c r="B133" s="2" t="s">
        <v>9</v>
      </c>
      <c r="C133" s="44">
        <v>3592.28</v>
      </c>
      <c r="D133" s="45">
        <v>42</v>
      </c>
      <c r="E133" s="44">
        <v>85.530475999999993</v>
      </c>
    </row>
    <row r="134" spans="1:5" x14ac:dyDescent="0.25">
      <c r="A134" s="3">
        <v>42795</v>
      </c>
      <c r="B134" s="2" t="s">
        <v>10</v>
      </c>
      <c r="C134" s="44">
        <v>25120.02</v>
      </c>
      <c r="D134" s="45">
        <v>279</v>
      </c>
      <c r="E134" s="44">
        <v>90.035914000000005</v>
      </c>
    </row>
    <row r="135" spans="1:5" x14ac:dyDescent="0.25">
      <c r="A135" s="3">
        <v>42795</v>
      </c>
      <c r="B135" s="2" t="s">
        <v>36</v>
      </c>
      <c r="C135" s="44">
        <v>2533.96</v>
      </c>
      <c r="D135" s="45">
        <v>24</v>
      </c>
      <c r="E135" s="44">
        <v>105.581667</v>
      </c>
    </row>
    <row r="136" spans="1:5" x14ac:dyDescent="0.25">
      <c r="A136" s="3">
        <v>42795</v>
      </c>
      <c r="B136" s="2" t="s">
        <v>51</v>
      </c>
      <c r="C136" s="44">
        <v>75</v>
      </c>
      <c r="D136" s="45">
        <v>2</v>
      </c>
      <c r="E136" s="44">
        <v>37.5</v>
      </c>
    </row>
    <row r="137" spans="1:5" x14ac:dyDescent="0.25">
      <c r="A137" s="3">
        <v>42795</v>
      </c>
      <c r="B137" s="2" t="s">
        <v>11</v>
      </c>
      <c r="C137" s="44">
        <v>28078.799999999999</v>
      </c>
      <c r="D137" s="45">
        <v>171</v>
      </c>
      <c r="E137" s="44">
        <v>164.203509</v>
      </c>
    </row>
    <row r="138" spans="1:5" x14ac:dyDescent="0.25">
      <c r="A138" s="3">
        <v>42795</v>
      </c>
      <c r="B138" s="2" t="s">
        <v>12</v>
      </c>
      <c r="C138" s="44">
        <v>9834.0400000000009</v>
      </c>
      <c r="D138" s="45">
        <v>47</v>
      </c>
      <c r="E138" s="44">
        <v>209.234894</v>
      </c>
    </row>
    <row r="139" spans="1:5" x14ac:dyDescent="0.25">
      <c r="A139" s="3">
        <v>42795</v>
      </c>
      <c r="B139" s="2" t="s">
        <v>53</v>
      </c>
      <c r="C139" s="44">
        <v>38.9</v>
      </c>
      <c r="D139" s="45">
        <v>1</v>
      </c>
      <c r="E139" s="44">
        <v>38.9</v>
      </c>
    </row>
    <row r="140" spans="1:5" x14ac:dyDescent="0.25">
      <c r="A140" s="3">
        <v>42795</v>
      </c>
      <c r="B140" s="2" t="s">
        <v>13</v>
      </c>
      <c r="C140" s="44">
        <v>20583.330000000002</v>
      </c>
      <c r="D140" s="45">
        <v>118</v>
      </c>
      <c r="E140" s="44">
        <v>174.435</v>
      </c>
    </row>
    <row r="141" spans="1:5" x14ac:dyDescent="0.25">
      <c r="A141" s="3">
        <v>42795</v>
      </c>
      <c r="B141" s="2" t="s">
        <v>61</v>
      </c>
      <c r="C141" s="44">
        <v>463.87</v>
      </c>
      <c r="D141" s="45">
        <v>5</v>
      </c>
      <c r="E141" s="44">
        <v>92.774000000000001</v>
      </c>
    </row>
    <row r="142" spans="1:5" x14ac:dyDescent="0.25">
      <c r="A142" s="3">
        <v>42795</v>
      </c>
      <c r="B142" s="2" t="s">
        <v>38</v>
      </c>
      <c r="C142" s="44">
        <v>453.7</v>
      </c>
      <c r="D142" s="45">
        <v>4</v>
      </c>
      <c r="E142" s="44">
        <v>113.425</v>
      </c>
    </row>
    <row r="143" spans="1:5" x14ac:dyDescent="0.25">
      <c r="A143" s="3">
        <v>42795</v>
      </c>
      <c r="B143" s="2" t="s">
        <v>15</v>
      </c>
      <c r="C143" s="44">
        <v>3986</v>
      </c>
      <c r="D143" s="45">
        <v>37</v>
      </c>
      <c r="E143" s="44">
        <v>107.72973</v>
      </c>
    </row>
    <row r="144" spans="1:5" x14ac:dyDescent="0.25">
      <c r="A144" s="3">
        <v>42795</v>
      </c>
      <c r="B144" s="2" t="s">
        <v>16</v>
      </c>
      <c r="C144" s="44">
        <v>19.899999999999999</v>
      </c>
      <c r="D144" s="45">
        <v>1</v>
      </c>
      <c r="E144" s="44">
        <v>19.899999999999999</v>
      </c>
    </row>
    <row r="145" spans="1:5" x14ac:dyDescent="0.25">
      <c r="A145" s="3">
        <v>42795</v>
      </c>
      <c r="B145" s="2" t="s">
        <v>17</v>
      </c>
      <c r="C145" s="44">
        <v>4786.3599999999997</v>
      </c>
      <c r="D145" s="45">
        <v>66</v>
      </c>
      <c r="E145" s="44">
        <v>72.520606000000001</v>
      </c>
    </row>
    <row r="146" spans="1:5" x14ac:dyDescent="0.25">
      <c r="A146" s="3">
        <v>42795</v>
      </c>
      <c r="B146" s="2" t="s">
        <v>18</v>
      </c>
      <c r="C146" s="44">
        <v>580.79999999999995</v>
      </c>
      <c r="D146" s="45">
        <v>9</v>
      </c>
      <c r="E146" s="44">
        <v>64.533332999999999</v>
      </c>
    </row>
    <row r="147" spans="1:5" x14ac:dyDescent="0.25">
      <c r="A147" s="3">
        <v>42795</v>
      </c>
      <c r="B147" s="2" t="s">
        <v>19</v>
      </c>
      <c r="C147" s="44">
        <v>1515</v>
      </c>
      <c r="D147" s="45">
        <v>14</v>
      </c>
      <c r="E147" s="44">
        <v>108.214286</v>
      </c>
    </row>
    <row r="148" spans="1:5" x14ac:dyDescent="0.25">
      <c r="A148" s="3">
        <v>42795</v>
      </c>
      <c r="B148" s="2" t="s">
        <v>62</v>
      </c>
      <c r="C148" s="44">
        <v>39.9</v>
      </c>
      <c r="D148" s="45">
        <v>1</v>
      </c>
      <c r="E148" s="44">
        <v>39.9</v>
      </c>
    </row>
    <row r="149" spans="1:5" x14ac:dyDescent="0.25">
      <c r="A149" s="3">
        <v>42795</v>
      </c>
      <c r="B149" s="2" t="s">
        <v>39</v>
      </c>
      <c r="C149" s="44">
        <v>394.14</v>
      </c>
      <c r="D149" s="45">
        <v>6</v>
      </c>
      <c r="E149" s="44">
        <v>65.69</v>
      </c>
    </row>
    <row r="150" spans="1:5" x14ac:dyDescent="0.25">
      <c r="A150" s="3">
        <v>42795</v>
      </c>
      <c r="B150" s="2" t="s">
        <v>20</v>
      </c>
      <c r="C150" s="44">
        <v>1333.45</v>
      </c>
      <c r="D150" s="45">
        <v>20</v>
      </c>
      <c r="E150" s="44">
        <v>66.672499999999999</v>
      </c>
    </row>
    <row r="151" spans="1:5" x14ac:dyDescent="0.25">
      <c r="A151" s="3">
        <v>42795</v>
      </c>
      <c r="B151" s="2" t="s">
        <v>21</v>
      </c>
      <c r="C151" s="44">
        <v>2412.66</v>
      </c>
      <c r="D151" s="45">
        <v>21</v>
      </c>
      <c r="E151" s="44">
        <v>114.888571</v>
      </c>
    </row>
    <row r="152" spans="1:5" x14ac:dyDescent="0.25">
      <c r="A152" s="3">
        <v>42795</v>
      </c>
      <c r="B152" s="2" t="s">
        <v>63</v>
      </c>
      <c r="C152" s="44">
        <v>85.8</v>
      </c>
      <c r="D152" s="45">
        <v>4</v>
      </c>
      <c r="E152" s="44">
        <v>21.45</v>
      </c>
    </row>
    <row r="153" spans="1:5" x14ac:dyDescent="0.25">
      <c r="A153" s="3">
        <v>42795</v>
      </c>
      <c r="B153" s="2" t="s">
        <v>22</v>
      </c>
      <c r="C153" s="44">
        <v>22133.47</v>
      </c>
      <c r="D153" s="45">
        <v>315</v>
      </c>
      <c r="E153" s="44">
        <v>70.264983999999998</v>
      </c>
    </row>
    <row r="154" spans="1:5" x14ac:dyDescent="0.25">
      <c r="A154" s="3">
        <v>42795</v>
      </c>
      <c r="B154" s="2" t="s">
        <v>41</v>
      </c>
      <c r="C154" s="44">
        <v>3324</v>
      </c>
      <c r="D154" s="45">
        <v>24</v>
      </c>
      <c r="E154" s="44">
        <v>138.5</v>
      </c>
    </row>
    <row r="155" spans="1:5" x14ac:dyDescent="0.25">
      <c r="A155" s="3">
        <v>42795</v>
      </c>
      <c r="B155" s="2" t="s">
        <v>23</v>
      </c>
      <c r="C155" s="44">
        <v>23508.76</v>
      </c>
      <c r="D155" s="45">
        <v>146</v>
      </c>
      <c r="E155" s="44">
        <v>161.01890399999999</v>
      </c>
    </row>
    <row r="156" spans="1:5" x14ac:dyDescent="0.25">
      <c r="A156" s="3">
        <v>42795</v>
      </c>
      <c r="B156" s="2" t="s">
        <v>5</v>
      </c>
      <c r="C156" s="44">
        <v>25652.45</v>
      </c>
      <c r="D156" s="45">
        <v>208</v>
      </c>
      <c r="E156" s="44">
        <v>123.329087</v>
      </c>
    </row>
    <row r="157" spans="1:5" x14ac:dyDescent="0.25">
      <c r="A157" s="3">
        <v>42795</v>
      </c>
      <c r="B157" s="2" t="s">
        <v>56</v>
      </c>
      <c r="C157" s="44">
        <v>313.3</v>
      </c>
      <c r="D157" s="45">
        <v>10</v>
      </c>
      <c r="E157" s="44">
        <v>31.33</v>
      </c>
    </row>
    <row r="158" spans="1:5" x14ac:dyDescent="0.25">
      <c r="A158" s="3">
        <v>42795</v>
      </c>
      <c r="B158" s="2" t="s">
        <v>42</v>
      </c>
      <c r="C158" s="44">
        <v>500.9</v>
      </c>
      <c r="D158" s="45">
        <v>2</v>
      </c>
      <c r="E158" s="44">
        <v>250.45</v>
      </c>
    </row>
    <row r="159" spans="1:5" x14ac:dyDescent="0.25">
      <c r="A159" s="3">
        <v>42795</v>
      </c>
      <c r="B159" s="2" t="s">
        <v>43</v>
      </c>
      <c r="C159" s="44">
        <v>342.88</v>
      </c>
      <c r="D159" s="45">
        <v>3</v>
      </c>
      <c r="E159" s="44">
        <v>114.293333</v>
      </c>
    </row>
    <row r="160" spans="1:5" x14ac:dyDescent="0.25">
      <c r="A160" s="3">
        <v>42795</v>
      </c>
      <c r="B160" s="2" t="s">
        <v>57</v>
      </c>
      <c r="C160" s="44">
        <v>2123.4</v>
      </c>
      <c r="D160" s="45">
        <v>13</v>
      </c>
      <c r="E160" s="44">
        <v>163.33846199999999</v>
      </c>
    </row>
    <row r="161" spans="1:5" x14ac:dyDescent="0.25">
      <c r="A161" s="3">
        <v>42795</v>
      </c>
      <c r="B161" s="2" t="s">
        <v>58</v>
      </c>
      <c r="C161" s="44">
        <v>591.96</v>
      </c>
      <c r="D161" s="45">
        <v>10</v>
      </c>
      <c r="E161" s="44">
        <v>59.195999999999998</v>
      </c>
    </row>
    <row r="162" spans="1:5" x14ac:dyDescent="0.25">
      <c r="A162" s="3">
        <v>42795</v>
      </c>
      <c r="B162" s="2" t="s">
        <v>24</v>
      </c>
      <c r="C162" s="44">
        <v>12906.96</v>
      </c>
      <c r="D162" s="45">
        <v>196</v>
      </c>
      <c r="E162" s="44">
        <v>65.851837000000003</v>
      </c>
    </row>
    <row r="163" spans="1:5" x14ac:dyDescent="0.25">
      <c r="A163" s="3">
        <v>42795</v>
      </c>
      <c r="B163" s="2" t="s">
        <v>25</v>
      </c>
      <c r="C163" s="44">
        <v>238</v>
      </c>
      <c r="D163" s="45">
        <v>2</v>
      </c>
      <c r="E163" s="44">
        <v>119</v>
      </c>
    </row>
    <row r="164" spans="1:5" x14ac:dyDescent="0.25">
      <c r="A164" s="3">
        <v>42795</v>
      </c>
      <c r="B164" s="2" t="s">
        <v>44</v>
      </c>
      <c r="C164" s="44">
        <v>113.98</v>
      </c>
      <c r="D164" s="45">
        <v>3</v>
      </c>
      <c r="E164" s="44">
        <v>37.993333</v>
      </c>
    </row>
    <row r="165" spans="1:5" x14ac:dyDescent="0.25">
      <c r="A165" s="3">
        <v>42795</v>
      </c>
      <c r="B165" s="2" t="s">
        <v>45</v>
      </c>
      <c r="C165" s="44">
        <v>5924.01</v>
      </c>
      <c r="D165" s="45">
        <v>38</v>
      </c>
      <c r="E165" s="44">
        <v>155.89500000000001</v>
      </c>
    </row>
    <row r="166" spans="1:5" x14ac:dyDescent="0.25">
      <c r="A166" s="3">
        <v>42795</v>
      </c>
      <c r="B166" s="2" t="s">
        <v>26</v>
      </c>
      <c r="C166" s="44">
        <v>1808.59</v>
      </c>
      <c r="D166" s="45">
        <v>17</v>
      </c>
      <c r="E166" s="44">
        <v>106.387647</v>
      </c>
    </row>
    <row r="167" spans="1:5" x14ac:dyDescent="0.25">
      <c r="A167" s="3">
        <v>42795</v>
      </c>
      <c r="B167" s="2" t="s">
        <v>46</v>
      </c>
      <c r="C167" s="44">
        <v>27.99</v>
      </c>
      <c r="D167" s="45">
        <v>1</v>
      </c>
      <c r="E167" s="44">
        <v>27.99</v>
      </c>
    </row>
    <row r="168" spans="1:5" x14ac:dyDescent="0.25">
      <c r="A168" s="3">
        <v>42795</v>
      </c>
      <c r="B168" s="2" t="s">
        <v>47</v>
      </c>
      <c r="C168" s="44">
        <v>1667.33</v>
      </c>
      <c r="D168" s="45">
        <v>10</v>
      </c>
      <c r="E168" s="44">
        <v>166.733</v>
      </c>
    </row>
    <row r="169" spans="1:5" x14ac:dyDescent="0.25">
      <c r="A169" s="3">
        <v>42795</v>
      </c>
      <c r="B169" s="2" t="s">
        <v>27</v>
      </c>
      <c r="C169" s="44">
        <v>10793.85</v>
      </c>
      <c r="D169" s="45">
        <v>74</v>
      </c>
      <c r="E169" s="44">
        <v>145.86283800000001</v>
      </c>
    </row>
    <row r="170" spans="1:5" x14ac:dyDescent="0.25">
      <c r="A170" s="3">
        <v>42795</v>
      </c>
      <c r="B170" s="2" t="s">
        <v>28</v>
      </c>
      <c r="C170" s="44">
        <v>19608.14</v>
      </c>
      <c r="D170" s="45">
        <v>105</v>
      </c>
      <c r="E170" s="44">
        <v>186.74419</v>
      </c>
    </row>
    <row r="171" spans="1:5" x14ac:dyDescent="0.25">
      <c r="A171" s="3">
        <v>42795</v>
      </c>
      <c r="B171" s="2" t="s">
        <v>29</v>
      </c>
      <c r="C171" s="44">
        <v>8240.06</v>
      </c>
      <c r="D171" s="45">
        <v>44</v>
      </c>
      <c r="E171" s="44">
        <v>187.274091</v>
      </c>
    </row>
    <row r="172" spans="1:5" x14ac:dyDescent="0.25">
      <c r="A172" s="3">
        <v>42795</v>
      </c>
      <c r="B172" s="2" t="s">
        <v>64</v>
      </c>
      <c r="C172" s="44">
        <v>75</v>
      </c>
      <c r="D172" s="45">
        <v>1</v>
      </c>
      <c r="E172" s="44">
        <v>75</v>
      </c>
    </row>
    <row r="173" spans="1:5" x14ac:dyDescent="0.25">
      <c r="A173" s="3">
        <v>42795</v>
      </c>
      <c r="B173" s="2" t="s">
        <v>49</v>
      </c>
      <c r="C173" s="44">
        <v>11171.06</v>
      </c>
      <c r="D173" s="45">
        <v>31</v>
      </c>
      <c r="E173" s="44">
        <v>360.35677399999997</v>
      </c>
    </row>
    <row r="174" spans="1:5" x14ac:dyDescent="0.25">
      <c r="A174" s="3">
        <v>42795</v>
      </c>
      <c r="B174" s="2" t="s">
        <v>30</v>
      </c>
      <c r="C174" s="44">
        <v>25472.89</v>
      </c>
      <c r="D174" s="45">
        <v>190</v>
      </c>
      <c r="E174" s="44">
        <v>134.06784200000001</v>
      </c>
    </row>
    <row r="175" spans="1:5" x14ac:dyDescent="0.25">
      <c r="A175" s="3">
        <v>42795</v>
      </c>
      <c r="B175" s="2" t="s">
        <v>50</v>
      </c>
      <c r="C175" s="44">
        <v>5902.62</v>
      </c>
      <c r="D175" s="45">
        <v>56</v>
      </c>
      <c r="E175" s="44">
        <v>105.40392900000001</v>
      </c>
    </row>
    <row r="176" spans="1:5" x14ac:dyDescent="0.25">
      <c r="A176" s="3">
        <v>42795</v>
      </c>
      <c r="B176" s="2" t="s">
        <v>59</v>
      </c>
      <c r="C176" s="44">
        <v>495</v>
      </c>
      <c r="D176" s="45">
        <v>5</v>
      </c>
      <c r="E176" s="44">
        <v>99</v>
      </c>
    </row>
    <row r="177" spans="1:5" x14ac:dyDescent="0.25">
      <c r="A177" s="3">
        <v>42795</v>
      </c>
      <c r="B177" s="2" t="s">
        <v>31</v>
      </c>
      <c r="C177" s="44">
        <v>7877.12</v>
      </c>
      <c r="D177" s="45">
        <v>165</v>
      </c>
      <c r="E177" s="44">
        <v>47.740121000000002</v>
      </c>
    </row>
    <row r="178" spans="1:5" x14ac:dyDescent="0.25">
      <c r="A178" s="3">
        <v>42795</v>
      </c>
      <c r="B178" s="2" t="s">
        <v>32</v>
      </c>
      <c r="C178" s="44">
        <v>12339.57</v>
      </c>
      <c r="D178" s="45">
        <v>102</v>
      </c>
      <c r="E178" s="44">
        <v>120.976176</v>
      </c>
    </row>
    <row r="179" spans="1:5" x14ac:dyDescent="0.25">
      <c r="A179" s="3">
        <v>42795</v>
      </c>
      <c r="B179" s="2" t="s">
        <v>33</v>
      </c>
      <c r="C179" s="44">
        <v>6457.17</v>
      </c>
      <c r="D179" s="45">
        <v>60</v>
      </c>
      <c r="E179" s="44">
        <v>107.6195</v>
      </c>
    </row>
    <row r="180" spans="1:5" x14ac:dyDescent="0.25">
      <c r="A180" s="3">
        <v>42795</v>
      </c>
      <c r="B180" s="2" t="s">
        <v>34</v>
      </c>
      <c r="C180" s="44">
        <v>24892.38</v>
      </c>
      <c r="D180" s="45">
        <v>79</v>
      </c>
      <c r="E180" s="44">
        <v>315.09341799999999</v>
      </c>
    </row>
    <row r="181" spans="1:5" x14ac:dyDescent="0.25">
      <c r="A181" s="3">
        <v>42826</v>
      </c>
      <c r="B181" s="2" t="s">
        <v>6</v>
      </c>
      <c r="C181" s="44">
        <v>2492.23</v>
      </c>
      <c r="D181" s="45">
        <v>15</v>
      </c>
      <c r="E181" s="44">
        <v>166.14866699999999</v>
      </c>
    </row>
    <row r="182" spans="1:5" x14ac:dyDescent="0.25">
      <c r="A182" s="3">
        <v>42826</v>
      </c>
      <c r="B182" s="2" t="s">
        <v>60</v>
      </c>
      <c r="C182" s="44">
        <v>119.9</v>
      </c>
      <c r="D182" s="45">
        <v>1</v>
      </c>
      <c r="E182" s="44">
        <v>119.9</v>
      </c>
    </row>
    <row r="183" spans="1:5" x14ac:dyDescent="0.25">
      <c r="A183" s="3">
        <v>42826</v>
      </c>
      <c r="B183" s="2" t="s">
        <v>7</v>
      </c>
      <c r="C183" s="44">
        <v>942.2</v>
      </c>
      <c r="D183" s="45">
        <v>11</v>
      </c>
      <c r="E183" s="44">
        <v>85.654544999999999</v>
      </c>
    </row>
    <row r="184" spans="1:5" x14ac:dyDescent="0.25">
      <c r="A184" s="3">
        <v>42826</v>
      </c>
      <c r="B184" s="2" t="s">
        <v>8</v>
      </c>
      <c r="C184" s="44">
        <v>15149.32</v>
      </c>
      <c r="D184" s="45">
        <v>84</v>
      </c>
      <c r="E184" s="44">
        <v>180.34904800000001</v>
      </c>
    </row>
    <row r="185" spans="1:5" x14ac:dyDescent="0.25">
      <c r="A185" s="3">
        <v>42826</v>
      </c>
      <c r="B185" s="2" t="s">
        <v>9</v>
      </c>
      <c r="C185" s="44">
        <v>3930.55</v>
      </c>
      <c r="D185" s="45">
        <v>50</v>
      </c>
      <c r="E185" s="44">
        <v>78.611000000000004</v>
      </c>
    </row>
    <row r="186" spans="1:5" x14ac:dyDescent="0.25">
      <c r="A186" s="3">
        <v>42826</v>
      </c>
      <c r="B186" s="2" t="s">
        <v>10</v>
      </c>
      <c r="C186" s="44">
        <v>24092.89</v>
      </c>
      <c r="D186" s="45">
        <v>271</v>
      </c>
      <c r="E186" s="44">
        <v>88.903653000000006</v>
      </c>
    </row>
    <row r="187" spans="1:5" x14ac:dyDescent="0.25">
      <c r="A187" s="3">
        <v>42826</v>
      </c>
      <c r="B187" s="2" t="s">
        <v>36</v>
      </c>
      <c r="C187" s="44">
        <v>923.38</v>
      </c>
      <c r="D187" s="45">
        <v>12</v>
      </c>
      <c r="E187" s="44">
        <v>76.948333000000005</v>
      </c>
    </row>
    <row r="188" spans="1:5" x14ac:dyDescent="0.25">
      <c r="A188" s="3">
        <v>42826</v>
      </c>
      <c r="B188" s="2" t="s">
        <v>65</v>
      </c>
      <c r="C188" s="44">
        <v>19.989999999999998</v>
      </c>
      <c r="D188" s="45">
        <v>1</v>
      </c>
      <c r="E188" s="44">
        <v>19.989999999999998</v>
      </c>
    </row>
    <row r="189" spans="1:5" x14ac:dyDescent="0.25">
      <c r="A189" s="3">
        <v>42826</v>
      </c>
      <c r="B189" s="2" t="s">
        <v>51</v>
      </c>
      <c r="C189" s="44">
        <v>75</v>
      </c>
      <c r="D189" s="45">
        <v>1</v>
      </c>
      <c r="E189" s="44">
        <v>75</v>
      </c>
    </row>
    <row r="190" spans="1:5" x14ac:dyDescent="0.25">
      <c r="A190" s="3">
        <v>42826</v>
      </c>
      <c r="B190" s="2" t="s">
        <v>66</v>
      </c>
      <c r="C190" s="44">
        <v>69</v>
      </c>
      <c r="D190" s="45">
        <v>1</v>
      </c>
      <c r="E190" s="44">
        <v>69</v>
      </c>
    </row>
    <row r="191" spans="1:5" x14ac:dyDescent="0.25">
      <c r="A191" s="3">
        <v>42826</v>
      </c>
      <c r="B191" s="2" t="s">
        <v>52</v>
      </c>
      <c r="C191" s="44">
        <v>118</v>
      </c>
      <c r="D191" s="45">
        <v>2</v>
      </c>
      <c r="E191" s="44">
        <v>59</v>
      </c>
    </row>
    <row r="192" spans="1:5" x14ac:dyDescent="0.25">
      <c r="A192" s="3">
        <v>42826</v>
      </c>
      <c r="B192" s="2" t="s">
        <v>11</v>
      </c>
      <c r="C192" s="44">
        <v>18353.46</v>
      </c>
      <c r="D192" s="45">
        <v>132</v>
      </c>
      <c r="E192" s="44">
        <v>139.04136399999999</v>
      </c>
    </row>
    <row r="193" spans="1:5" x14ac:dyDescent="0.25">
      <c r="A193" s="3">
        <v>42826</v>
      </c>
      <c r="B193" s="2" t="s">
        <v>12</v>
      </c>
      <c r="C193" s="44">
        <v>3772.88</v>
      </c>
      <c r="D193" s="45">
        <v>17</v>
      </c>
      <c r="E193" s="44">
        <v>221.93411800000001</v>
      </c>
    </row>
    <row r="194" spans="1:5" x14ac:dyDescent="0.25">
      <c r="A194" s="3">
        <v>42826</v>
      </c>
      <c r="B194" s="2" t="s">
        <v>13</v>
      </c>
      <c r="C194" s="44">
        <v>20902.39</v>
      </c>
      <c r="D194" s="45">
        <v>114</v>
      </c>
      <c r="E194" s="44">
        <v>183.354298</v>
      </c>
    </row>
    <row r="195" spans="1:5" x14ac:dyDescent="0.25">
      <c r="A195" s="3">
        <v>42826</v>
      </c>
      <c r="B195" s="2" t="s">
        <v>55</v>
      </c>
      <c r="C195" s="44">
        <v>1490.21</v>
      </c>
      <c r="D195" s="45">
        <v>8</v>
      </c>
      <c r="E195" s="44">
        <v>186.27625</v>
      </c>
    </row>
    <row r="196" spans="1:5" x14ac:dyDescent="0.25">
      <c r="A196" s="3">
        <v>42826</v>
      </c>
      <c r="B196" s="2" t="s">
        <v>67</v>
      </c>
      <c r="C196" s="44">
        <v>729</v>
      </c>
      <c r="D196" s="45">
        <v>1</v>
      </c>
      <c r="E196" s="44">
        <v>729</v>
      </c>
    </row>
    <row r="197" spans="1:5" x14ac:dyDescent="0.25">
      <c r="A197" s="3">
        <v>42826</v>
      </c>
      <c r="B197" s="2" t="s">
        <v>38</v>
      </c>
      <c r="C197" s="44">
        <v>1434.9</v>
      </c>
      <c r="D197" s="45">
        <v>2</v>
      </c>
      <c r="E197" s="44">
        <v>717.45</v>
      </c>
    </row>
    <row r="198" spans="1:5" x14ac:dyDescent="0.25">
      <c r="A198" s="3">
        <v>42826</v>
      </c>
      <c r="B198" s="2" t="s">
        <v>15</v>
      </c>
      <c r="C198" s="44">
        <v>4822.24</v>
      </c>
      <c r="D198" s="45">
        <v>48</v>
      </c>
      <c r="E198" s="44">
        <v>100.46333300000001</v>
      </c>
    </row>
    <row r="199" spans="1:5" x14ac:dyDescent="0.25">
      <c r="A199" s="3">
        <v>42826</v>
      </c>
      <c r="B199" s="2" t="s">
        <v>16</v>
      </c>
      <c r="C199" s="44">
        <v>64.900000000000006</v>
      </c>
      <c r="D199" s="45">
        <v>1</v>
      </c>
      <c r="E199" s="44">
        <v>64.900000000000006</v>
      </c>
    </row>
    <row r="200" spans="1:5" x14ac:dyDescent="0.25">
      <c r="A200" s="3">
        <v>42826</v>
      </c>
      <c r="B200" s="2" t="s">
        <v>17</v>
      </c>
      <c r="C200" s="44">
        <v>3095.9</v>
      </c>
      <c r="D200" s="45">
        <v>48</v>
      </c>
      <c r="E200" s="44">
        <v>64.497917000000001</v>
      </c>
    </row>
    <row r="201" spans="1:5" x14ac:dyDescent="0.25">
      <c r="A201" s="3">
        <v>42826</v>
      </c>
      <c r="B201" s="2" t="s">
        <v>18</v>
      </c>
      <c r="C201" s="44">
        <v>366.89</v>
      </c>
      <c r="D201" s="45">
        <v>5</v>
      </c>
      <c r="E201" s="44">
        <v>73.378</v>
      </c>
    </row>
    <row r="202" spans="1:5" x14ac:dyDescent="0.25">
      <c r="A202" s="3">
        <v>42826</v>
      </c>
      <c r="B202" s="2" t="s">
        <v>19</v>
      </c>
      <c r="C202" s="44">
        <v>1526.5</v>
      </c>
      <c r="D202" s="45">
        <v>23</v>
      </c>
      <c r="E202" s="44">
        <v>66.369564999999994</v>
      </c>
    </row>
    <row r="203" spans="1:5" x14ac:dyDescent="0.25">
      <c r="A203" s="3">
        <v>42826</v>
      </c>
      <c r="B203" s="2" t="s">
        <v>62</v>
      </c>
      <c r="C203" s="44">
        <v>189.78</v>
      </c>
      <c r="D203" s="45">
        <v>4</v>
      </c>
      <c r="E203" s="44">
        <v>47.445</v>
      </c>
    </row>
    <row r="204" spans="1:5" x14ac:dyDescent="0.25">
      <c r="A204" s="3">
        <v>42826</v>
      </c>
      <c r="B204" s="2" t="s">
        <v>39</v>
      </c>
      <c r="C204" s="44">
        <v>92.89</v>
      </c>
      <c r="D204" s="45">
        <v>3</v>
      </c>
      <c r="E204" s="44">
        <v>30.963332999999999</v>
      </c>
    </row>
    <row r="205" spans="1:5" x14ac:dyDescent="0.25">
      <c r="A205" s="3">
        <v>42826</v>
      </c>
      <c r="B205" s="2" t="s">
        <v>20</v>
      </c>
      <c r="C205" s="44">
        <v>505.83</v>
      </c>
      <c r="D205" s="45">
        <v>6</v>
      </c>
      <c r="E205" s="44">
        <v>84.305000000000007</v>
      </c>
    </row>
    <row r="206" spans="1:5" x14ac:dyDescent="0.25">
      <c r="A206" s="3">
        <v>42826</v>
      </c>
      <c r="B206" s="2" t="s">
        <v>21</v>
      </c>
      <c r="C206" s="44">
        <v>491.3</v>
      </c>
      <c r="D206" s="45">
        <v>8</v>
      </c>
      <c r="E206" s="44">
        <v>61.412500000000001</v>
      </c>
    </row>
    <row r="207" spans="1:5" x14ac:dyDescent="0.25">
      <c r="A207" s="3">
        <v>42826</v>
      </c>
      <c r="B207" s="2" t="s">
        <v>63</v>
      </c>
      <c r="C207" s="44">
        <v>47.9</v>
      </c>
      <c r="D207" s="45">
        <v>3</v>
      </c>
      <c r="E207" s="44">
        <v>15.966666999999999</v>
      </c>
    </row>
    <row r="208" spans="1:5" x14ac:dyDescent="0.25">
      <c r="A208" s="3">
        <v>42826</v>
      </c>
      <c r="B208" s="2" t="s">
        <v>40</v>
      </c>
      <c r="C208" s="44">
        <v>628.98</v>
      </c>
      <c r="D208" s="45">
        <v>3</v>
      </c>
      <c r="E208" s="44">
        <v>209.66</v>
      </c>
    </row>
    <row r="209" spans="1:5" x14ac:dyDescent="0.25">
      <c r="A209" s="3">
        <v>42826</v>
      </c>
      <c r="B209" s="2" t="s">
        <v>22</v>
      </c>
      <c r="C209" s="44">
        <v>19211.23</v>
      </c>
      <c r="D209" s="45">
        <v>191</v>
      </c>
      <c r="E209" s="44">
        <v>100.582356</v>
      </c>
    </row>
    <row r="210" spans="1:5" x14ac:dyDescent="0.25">
      <c r="A210" s="3">
        <v>42826</v>
      </c>
      <c r="B210" s="2" t="s">
        <v>41</v>
      </c>
      <c r="C210" s="44">
        <v>2073.34</v>
      </c>
      <c r="D210" s="45">
        <v>12</v>
      </c>
      <c r="E210" s="44">
        <v>172.778333</v>
      </c>
    </row>
    <row r="211" spans="1:5" x14ac:dyDescent="0.25">
      <c r="A211" s="3">
        <v>42826</v>
      </c>
      <c r="B211" s="2" t="s">
        <v>68</v>
      </c>
      <c r="C211" s="44">
        <v>109.4</v>
      </c>
      <c r="D211" s="45">
        <v>1</v>
      </c>
      <c r="E211" s="44">
        <v>109.4</v>
      </c>
    </row>
    <row r="212" spans="1:5" x14ac:dyDescent="0.25">
      <c r="A212" s="3">
        <v>42826</v>
      </c>
      <c r="B212" s="2" t="s">
        <v>23</v>
      </c>
      <c r="C212" s="44">
        <v>17648.93</v>
      </c>
      <c r="D212" s="45">
        <v>108</v>
      </c>
      <c r="E212" s="44">
        <v>163.41601900000001</v>
      </c>
    </row>
    <row r="213" spans="1:5" x14ac:dyDescent="0.25">
      <c r="A213" s="3">
        <v>42826</v>
      </c>
      <c r="B213" s="2" t="s">
        <v>5</v>
      </c>
      <c r="C213" s="44">
        <v>22156.34</v>
      </c>
      <c r="D213" s="45">
        <v>180</v>
      </c>
      <c r="E213" s="44">
        <v>123.090778</v>
      </c>
    </row>
    <row r="214" spans="1:5" x14ac:dyDescent="0.25">
      <c r="A214" s="3">
        <v>42826</v>
      </c>
      <c r="B214" s="2" t="s">
        <v>56</v>
      </c>
      <c r="C214" s="44">
        <v>499.4</v>
      </c>
      <c r="D214" s="45">
        <v>10</v>
      </c>
      <c r="E214" s="44">
        <v>49.94</v>
      </c>
    </row>
    <row r="215" spans="1:5" x14ac:dyDescent="0.25">
      <c r="A215" s="3">
        <v>42826</v>
      </c>
      <c r="B215" s="2" t="s">
        <v>42</v>
      </c>
      <c r="C215" s="44">
        <v>799.8</v>
      </c>
      <c r="D215" s="45">
        <v>2</v>
      </c>
      <c r="E215" s="44">
        <v>399.9</v>
      </c>
    </row>
    <row r="216" spans="1:5" x14ac:dyDescent="0.25">
      <c r="A216" s="3">
        <v>42826</v>
      </c>
      <c r="B216" s="2" t="s">
        <v>43</v>
      </c>
      <c r="C216" s="44">
        <v>12.9</v>
      </c>
      <c r="D216" s="45">
        <v>1</v>
      </c>
      <c r="E216" s="44">
        <v>12.9</v>
      </c>
    </row>
    <row r="217" spans="1:5" x14ac:dyDescent="0.25">
      <c r="A217" s="3">
        <v>42826</v>
      </c>
      <c r="B217" s="2" t="s">
        <v>57</v>
      </c>
      <c r="C217" s="44">
        <v>2411.1</v>
      </c>
      <c r="D217" s="45">
        <v>17</v>
      </c>
      <c r="E217" s="44">
        <v>141.82941199999999</v>
      </c>
    </row>
    <row r="218" spans="1:5" x14ac:dyDescent="0.25">
      <c r="A218" s="3">
        <v>42826</v>
      </c>
      <c r="B218" s="2" t="s">
        <v>58</v>
      </c>
      <c r="C218" s="44">
        <v>1602.69</v>
      </c>
      <c r="D218" s="45">
        <v>5</v>
      </c>
      <c r="E218" s="44">
        <v>320.53800000000001</v>
      </c>
    </row>
    <row r="219" spans="1:5" x14ac:dyDescent="0.25">
      <c r="A219" s="3">
        <v>42826</v>
      </c>
      <c r="B219" s="2" t="s">
        <v>24</v>
      </c>
      <c r="C219" s="44">
        <v>12472.18</v>
      </c>
      <c r="D219" s="45">
        <v>169</v>
      </c>
      <c r="E219" s="44">
        <v>73.799881999999997</v>
      </c>
    </row>
    <row r="220" spans="1:5" x14ac:dyDescent="0.25">
      <c r="A220" s="3">
        <v>42826</v>
      </c>
      <c r="B220" s="2" t="s">
        <v>44</v>
      </c>
      <c r="C220" s="44">
        <v>1033.4000000000001</v>
      </c>
      <c r="D220" s="45">
        <v>9</v>
      </c>
      <c r="E220" s="44">
        <v>114.822222</v>
      </c>
    </row>
    <row r="221" spans="1:5" x14ac:dyDescent="0.25">
      <c r="A221" s="3">
        <v>42826</v>
      </c>
      <c r="B221" s="2" t="s">
        <v>69</v>
      </c>
      <c r="C221" s="44">
        <v>24</v>
      </c>
      <c r="D221" s="45">
        <v>1</v>
      </c>
      <c r="E221" s="44">
        <v>24</v>
      </c>
    </row>
    <row r="222" spans="1:5" x14ac:dyDescent="0.25">
      <c r="A222" s="3">
        <v>42826</v>
      </c>
      <c r="B222" s="2" t="s">
        <v>45</v>
      </c>
      <c r="C222" s="44">
        <v>7090.3</v>
      </c>
      <c r="D222" s="45">
        <v>48</v>
      </c>
      <c r="E222" s="44">
        <v>147.714583</v>
      </c>
    </row>
    <row r="223" spans="1:5" x14ac:dyDescent="0.25">
      <c r="A223" s="3">
        <v>42826</v>
      </c>
      <c r="B223" s="2" t="s">
        <v>26</v>
      </c>
      <c r="C223" s="44">
        <v>4045.28</v>
      </c>
      <c r="D223" s="45">
        <v>19</v>
      </c>
      <c r="E223" s="44">
        <v>212.90947399999999</v>
      </c>
    </row>
    <row r="224" spans="1:5" x14ac:dyDescent="0.25">
      <c r="A224" s="3">
        <v>42826</v>
      </c>
      <c r="B224" s="2" t="s">
        <v>46</v>
      </c>
      <c r="C224" s="44">
        <v>59.8</v>
      </c>
      <c r="D224" s="45">
        <v>2</v>
      </c>
      <c r="E224" s="44">
        <v>29.9</v>
      </c>
    </row>
    <row r="225" spans="1:5" x14ac:dyDescent="0.25">
      <c r="A225" s="3">
        <v>42826</v>
      </c>
      <c r="B225" s="2" t="s">
        <v>47</v>
      </c>
      <c r="C225" s="44">
        <v>3818.43</v>
      </c>
      <c r="D225" s="45">
        <v>16</v>
      </c>
      <c r="E225" s="44">
        <v>238.65187499999999</v>
      </c>
    </row>
    <row r="226" spans="1:5" x14ac:dyDescent="0.25">
      <c r="A226" s="3">
        <v>42826</v>
      </c>
      <c r="B226" s="2" t="s">
        <v>27</v>
      </c>
      <c r="C226" s="44">
        <v>9411.2999999999993</v>
      </c>
      <c r="D226" s="45">
        <v>58</v>
      </c>
      <c r="E226" s="44">
        <v>162.26379299999999</v>
      </c>
    </row>
    <row r="227" spans="1:5" x14ac:dyDescent="0.25">
      <c r="A227" s="3">
        <v>42826</v>
      </c>
      <c r="B227" s="2" t="s">
        <v>70</v>
      </c>
      <c r="C227" s="44">
        <v>259.98</v>
      </c>
      <c r="D227" s="45">
        <v>2</v>
      </c>
      <c r="E227" s="44">
        <v>129.99</v>
      </c>
    </row>
    <row r="228" spans="1:5" x14ac:dyDescent="0.25">
      <c r="A228" s="3">
        <v>42826</v>
      </c>
      <c r="B228" s="2" t="s">
        <v>28</v>
      </c>
      <c r="C228" s="44">
        <v>19436.509999999998</v>
      </c>
      <c r="D228" s="45">
        <v>101</v>
      </c>
      <c r="E228" s="44">
        <v>192.44069300000001</v>
      </c>
    </row>
    <row r="229" spans="1:5" x14ac:dyDescent="0.25">
      <c r="A229" s="3">
        <v>42826</v>
      </c>
      <c r="B229" s="2" t="s">
        <v>29</v>
      </c>
      <c r="C229" s="44">
        <v>6182.89</v>
      </c>
      <c r="D229" s="45">
        <v>51</v>
      </c>
      <c r="E229" s="44">
        <v>121.233137</v>
      </c>
    </row>
    <row r="230" spans="1:5" x14ac:dyDescent="0.25">
      <c r="A230" s="3">
        <v>42826</v>
      </c>
      <c r="B230" s="2" t="s">
        <v>64</v>
      </c>
      <c r="C230" s="44">
        <v>128.06</v>
      </c>
      <c r="D230" s="45">
        <v>3</v>
      </c>
      <c r="E230" s="44">
        <v>42.686667</v>
      </c>
    </row>
    <row r="231" spans="1:5" x14ac:dyDescent="0.25">
      <c r="A231" s="3">
        <v>42826</v>
      </c>
      <c r="B231" s="2" t="s">
        <v>49</v>
      </c>
      <c r="C231" s="44">
        <v>23114.98</v>
      </c>
      <c r="D231" s="45">
        <v>20</v>
      </c>
      <c r="E231" s="44">
        <v>1155.749</v>
      </c>
    </row>
    <row r="232" spans="1:5" x14ac:dyDescent="0.25">
      <c r="A232" s="3">
        <v>42826</v>
      </c>
      <c r="B232" s="2" t="s">
        <v>30</v>
      </c>
      <c r="C232" s="44">
        <v>22997.06</v>
      </c>
      <c r="D232" s="45">
        <v>203</v>
      </c>
      <c r="E232" s="44">
        <v>113.28601</v>
      </c>
    </row>
    <row r="233" spans="1:5" x14ac:dyDescent="0.25">
      <c r="A233" s="3">
        <v>42826</v>
      </c>
      <c r="B233" s="2" t="s">
        <v>50</v>
      </c>
      <c r="C233" s="44">
        <v>4551.4399999999996</v>
      </c>
      <c r="D233" s="45">
        <v>35</v>
      </c>
      <c r="E233" s="44">
        <v>130.04114300000001</v>
      </c>
    </row>
    <row r="234" spans="1:5" x14ac:dyDescent="0.25">
      <c r="A234" s="3">
        <v>42826</v>
      </c>
      <c r="B234" s="2" t="s">
        <v>59</v>
      </c>
      <c r="C234" s="44">
        <v>1112.8800000000001</v>
      </c>
      <c r="D234" s="45">
        <v>11</v>
      </c>
      <c r="E234" s="44">
        <v>101.17090899999999</v>
      </c>
    </row>
    <row r="235" spans="1:5" x14ac:dyDescent="0.25">
      <c r="A235" s="3">
        <v>42826</v>
      </c>
      <c r="B235" s="2" t="s">
        <v>31</v>
      </c>
      <c r="C235" s="44">
        <v>7133.94</v>
      </c>
      <c r="D235" s="45">
        <v>142</v>
      </c>
      <c r="E235" s="44">
        <v>50.239013999999997</v>
      </c>
    </row>
    <row r="236" spans="1:5" x14ac:dyDescent="0.25">
      <c r="A236" s="3">
        <v>42826</v>
      </c>
      <c r="B236" s="2" t="s">
        <v>32</v>
      </c>
      <c r="C236" s="44">
        <v>13039.43</v>
      </c>
      <c r="D236" s="45">
        <v>113</v>
      </c>
      <c r="E236" s="44">
        <v>115.393186</v>
      </c>
    </row>
    <row r="237" spans="1:5" x14ac:dyDescent="0.25">
      <c r="A237" s="3">
        <v>42826</v>
      </c>
      <c r="B237" s="2" t="s">
        <v>33</v>
      </c>
      <c r="C237" s="44">
        <v>8448.19</v>
      </c>
      <c r="D237" s="45">
        <v>69</v>
      </c>
      <c r="E237" s="44">
        <v>122.43753599999999</v>
      </c>
    </row>
    <row r="238" spans="1:5" x14ac:dyDescent="0.25">
      <c r="A238" s="3">
        <v>42826</v>
      </c>
      <c r="B238" s="2" t="s">
        <v>34</v>
      </c>
      <c r="C238" s="44">
        <v>23336.09</v>
      </c>
      <c r="D238" s="45">
        <v>95</v>
      </c>
      <c r="E238" s="44">
        <v>245.64305300000001</v>
      </c>
    </row>
    <row r="239" spans="1:5" x14ac:dyDescent="0.25">
      <c r="A239" s="3">
        <v>42856</v>
      </c>
      <c r="B239" s="2" t="s">
        <v>35</v>
      </c>
      <c r="C239" s="44">
        <v>1579.94</v>
      </c>
      <c r="D239" s="45">
        <v>4</v>
      </c>
      <c r="E239" s="44">
        <v>394.98500000000001</v>
      </c>
    </row>
    <row r="240" spans="1:5" x14ac:dyDescent="0.25">
      <c r="A240" s="3">
        <v>42856</v>
      </c>
      <c r="B240" s="2" t="s">
        <v>6</v>
      </c>
      <c r="C240" s="44">
        <v>914.87</v>
      </c>
      <c r="D240" s="45">
        <v>7</v>
      </c>
      <c r="E240" s="44">
        <v>130.69571400000001</v>
      </c>
    </row>
    <row r="241" spans="1:5" x14ac:dyDescent="0.25">
      <c r="A241" s="3">
        <v>42856</v>
      </c>
      <c r="B241" s="2" t="s">
        <v>60</v>
      </c>
      <c r="C241" s="44">
        <v>6927.25</v>
      </c>
      <c r="D241" s="45">
        <v>6</v>
      </c>
      <c r="E241" s="44">
        <v>1154.541667</v>
      </c>
    </row>
    <row r="242" spans="1:5" x14ac:dyDescent="0.25">
      <c r="A242" s="3">
        <v>42856</v>
      </c>
      <c r="B242" s="2" t="s">
        <v>71</v>
      </c>
      <c r="C242" s="44">
        <v>21.99</v>
      </c>
      <c r="D242" s="45">
        <v>1</v>
      </c>
      <c r="E242" s="44">
        <v>21.99</v>
      </c>
    </row>
    <row r="243" spans="1:5" x14ac:dyDescent="0.25">
      <c r="A243" s="3">
        <v>42856</v>
      </c>
      <c r="B243" s="2" t="s">
        <v>7</v>
      </c>
      <c r="C243" s="44">
        <v>2081.1799999999998</v>
      </c>
      <c r="D243" s="45">
        <v>17</v>
      </c>
      <c r="E243" s="44">
        <v>122.422353</v>
      </c>
    </row>
    <row r="244" spans="1:5" x14ac:dyDescent="0.25">
      <c r="A244" s="3">
        <v>42856</v>
      </c>
      <c r="B244" s="2" t="s">
        <v>8</v>
      </c>
      <c r="C244" s="44">
        <v>17501.25</v>
      </c>
      <c r="D244" s="45">
        <v>113</v>
      </c>
      <c r="E244" s="44">
        <v>154.878319</v>
      </c>
    </row>
    <row r="245" spans="1:5" x14ac:dyDescent="0.25">
      <c r="A245" s="3">
        <v>42856</v>
      </c>
      <c r="B245" s="2" t="s">
        <v>9</v>
      </c>
      <c r="C245" s="44">
        <v>8933.7199999999993</v>
      </c>
      <c r="D245" s="45">
        <v>102</v>
      </c>
      <c r="E245" s="44">
        <v>87.585489999999993</v>
      </c>
    </row>
    <row r="246" spans="1:5" x14ac:dyDescent="0.25">
      <c r="A246" s="3">
        <v>42856</v>
      </c>
      <c r="B246" s="2" t="s">
        <v>10</v>
      </c>
      <c r="C246" s="44">
        <v>32684.6</v>
      </c>
      <c r="D246" s="45">
        <v>361</v>
      </c>
      <c r="E246" s="44">
        <v>90.539057999999997</v>
      </c>
    </row>
    <row r="247" spans="1:5" x14ac:dyDescent="0.25">
      <c r="A247" s="3">
        <v>42856</v>
      </c>
      <c r="B247" s="2" t="s">
        <v>36</v>
      </c>
      <c r="C247" s="44">
        <v>1841.57</v>
      </c>
      <c r="D247" s="45">
        <v>20</v>
      </c>
      <c r="E247" s="44">
        <v>92.078500000000005</v>
      </c>
    </row>
    <row r="248" spans="1:5" x14ac:dyDescent="0.25">
      <c r="A248" s="3">
        <v>42856</v>
      </c>
      <c r="B248" s="2" t="s">
        <v>51</v>
      </c>
      <c r="C248" s="44">
        <v>262</v>
      </c>
      <c r="D248" s="45">
        <v>3</v>
      </c>
      <c r="E248" s="44">
        <v>87.333332999999996</v>
      </c>
    </row>
    <row r="249" spans="1:5" x14ac:dyDescent="0.25">
      <c r="A249" s="3">
        <v>42856</v>
      </c>
      <c r="B249" s="2" t="s">
        <v>52</v>
      </c>
      <c r="C249" s="44">
        <v>59</v>
      </c>
      <c r="D249" s="45">
        <v>1</v>
      </c>
      <c r="E249" s="44">
        <v>59</v>
      </c>
    </row>
    <row r="250" spans="1:5" x14ac:dyDescent="0.25">
      <c r="A250" s="3">
        <v>42856</v>
      </c>
      <c r="B250" s="2" t="s">
        <v>11</v>
      </c>
      <c r="C250" s="44">
        <v>44759.39</v>
      </c>
      <c r="D250" s="45">
        <v>309</v>
      </c>
      <c r="E250" s="44">
        <v>144.852395</v>
      </c>
    </row>
    <row r="251" spans="1:5" x14ac:dyDescent="0.25">
      <c r="A251" s="3">
        <v>42856</v>
      </c>
      <c r="B251" s="2" t="s">
        <v>12</v>
      </c>
      <c r="C251" s="44">
        <v>2507.1999999999998</v>
      </c>
      <c r="D251" s="45">
        <v>29</v>
      </c>
      <c r="E251" s="44">
        <v>86.455172000000005</v>
      </c>
    </row>
    <row r="252" spans="1:5" x14ac:dyDescent="0.25">
      <c r="A252" s="3">
        <v>42856</v>
      </c>
      <c r="B252" s="2" t="s">
        <v>53</v>
      </c>
      <c r="C252" s="44">
        <v>99.99</v>
      </c>
      <c r="D252" s="45">
        <v>1</v>
      </c>
      <c r="E252" s="44">
        <v>99.99</v>
      </c>
    </row>
    <row r="253" spans="1:5" x14ac:dyDescent="0.25">
      <c r="A253" s="3">
        <v>42856</v>
      </c>
      <c r="B253" s="2" t="s">
        <v>13</v>
      </c>
      <c r="C253" s="44">
        <v>32481.599999999999</v>
      </c>
      <c r="D253" s="45">
        <v>241</v>
      </c>
      <c r="E253" s="44">
        <v>134.778423</v>
      </c>
    </row>
    <row r="254" spans="1:5" x14ac:dyDescent="0.25">
      <c r="A254" s="3">
        <v>42856</v>
      </c>
      <c r="B254" s="2" t="s">
        <v>55</v>
      </c>
      <c r="C254" s="44">
        <v>1447.34</v>
      </c>
      <c r="D254" s="45">
        <v>7</v>
      </c>
      <c r="E254" s="44">
        <v>206.762857</v>
      </c>
    </row>
    <row r="255" spans="1:5" x14ac:dyDescent="0.25">
      <c r="A255" s="3">
        <v>42856</v>
      </c>
      <c r="B255" s="2" t="s">
        <v>67</v>
      </c>
      <c r="C255" s="44">
        <v>803.9</v>
      </c>
      <c r="D255" s="45">
        <v>2</v>
      </c>
      <c r="E255" s="44">
        <v>401.95</v>
      </c>
    </row>
    <row r="256" spans="1:5" x14ac:dyDescent="0.25">
      <c r="A256" s="3">
        <v>42856</v>
      </c>
      <c r="B256" s="2" t="s">
        <v>61</v>
      </c>
      <c r="C256" s="44">
        <v>90</v>
      </c>
      <c r="D256" s="45">
        <v>1</v>
      </c>
      <c r="E256" s="44">
        <v>90</v>
      </c>
    </row>
    <row r="257" spans="1:5" x14ac:dyDescent="0.25">
      <c r="A257" s="3">
        <v>42856</v>
      </c>
      <c r="B257" s="2" t="s">
        <v>38</v>
      </c>
      <c r="C257" s="44">
        <v>89.6</v>
      </c>
      <c r="D257" s="45">
        <v>4</v>
      </c>
      <c r="E257" s="44">
        <v>22.4</v>
      </c>
    </row>
    <row r="258" spans="1:5" x14ac:dyDescent="0.25">
      <c r="A258" s="3">
        <v>42856</v>
      </c>
      <c r="B258" s="2" t="s">
        <v>15</v>
      </c>
      <c r="C258" s="44">
        <v>6149.11</v>
      </c>
      <c r="D258" s="45">
        <v>65</v>
      </c>
      <c r="E258" s="44">
        <v>94.601692</v>
      </c>
    </row>
    <row r="259" spans="1:5" x14ac:dyDescent="0.25">
      <c r="A259" s="3">
        <v>42856</v>
      </c>
      <c r="B259" s="2" t="s">
        <v>16</v>
      </c>
      <c r="C259" s="44">
        <v>367.5</v>
      </c>
      <c r="D259" s="45">
        <v>4</v>
      </c>
      <c r="E259" s="44">
        <v>91.875</v>
      </c>
    </row>
    <row r="260" spans="1:5" x14ac:dyDescent="0.25">
      <c r="A260" s="3">
        <v>42856</v>
      </c>
      <c r="B260" s="2" t="s">
        <v>17</v>
      </c>
      <c r="C260" s="44">
        <v>7192</v>
      </c>
      <c r="D260" s="45">
        <v>104</v>
      </c>
      <c r="E260" s="44">
        <v>69.153846000000001</v>
      </c>
    </row>
    <row r="261" spans="1:5" x14ac:dyDescent="0.25">
      <c r="A261" s="3">
        <v>42856</v>
      </c>
      <c r="B261" s="2" t="s">
        <v>72</v>
      </c>
      <c r="C261" s="44">
        <v>110</v>
      </c>
      <c r="D261" s="45">
        <v>1</v>
      </c>
      <c r="E261" s="44">
        <v>110</v>
      </c>
    </row>
    <row r="262" spans="1:5" x14ac:dyDescent="0.25">
      <c r="A262" s="3">
        <v>42856</v>
      </c>
      <c r="B262" s="2" t="s">
        <v>18</v>
      </c>
      <c r="C262" s="44">
        <v>608.9</v>
      </c>
      <c r="D262" s="45">
        <v>4</v>
      </c>
      <c r="E262" s="44">
        <v>152.22499999999999</v>
      </c>
    </row>
    <row r="263" spans="1:5" x14ac:dyDescent="0.25">
      <c r="A263" s="3">
        <v>42856</v>
      </c>
      <c r="B263" s="2" t="s">
        <v>19</v>
      </c>
      <c r="C263" s="44">
        <v>1669.54</v>
      </c>
      <c r="D263" s="45">
        <v>22</v>
      </c>
      <c r="E263" s="44">
        <v>75.888182</v>
      </c>
    </row>
    <row r="264" spans="1:5" x14ac:dyDescent="0.25">
      <c r="A264" s="3">
        <v>42856</v>
      </c>
      <c r="B264" s="2" t="s">
        <v>62</v>
      </c>
      <c r="C264" s="44">
        <v>124.84</v>
      </c>
      <c r="D264" s="45">
        <v>3</v>
      </c>
      <c r="E264" s="44">
        <v>41.613332999999997</v>
      </c>
    </row>
    <row r="265" spans="1:5" x14ac:dyDescent="0.25">
      <c r="A265" s="3">
        <v>42856</v>
      </c>
      <c r="B265" s="2" t="s">
        <v>39</v>
      </c>
      <c r="C265" s="44">
        <v>283.5</v>
      </c>
      <c r="D265" s="45">
        <v>7</v>
      </c>
      <c r="E265" s="44">
        <v>40.5</v>
      </c>
    </row>
    <row r="266" spans="1:5" x14ac:dyDescent="0.25">
      <c r="A266" s="3">
        <v>42856</v>
      </c>
      <c r="B266" s="2" t="s">
        <v>20</v>
      </c>
      <c r="C266" s="44">
        <v>445.83</v>
      </c>
      <c r="D266" s="45">
        <v>9</v>
      </c>
      <c r="E266" s="44">
        <v>49.536667000000001</v>
      </c>
    </row>
    <row r="267" spans="1:5" x14ac:dyDescent="0.25">
      <c r="A267" s="3">
        <v>42856</v>
      </c>
      <c r="B267" s="2" t="s">
        <v>21</v>
      </c>
      <c r="C267" s="44">
        <v>387.9</v>
      </c>
      <c r="D267" s="45">
        <v>3</v>
      </c>
      <c r="E267" s="44">
        <v>129.30000000000001</v>
      </c>
    </row>
    <row r="268" spans="1:5" x14ac:dyDescent="0.25">
      <c r="A268" s="3">
        <v>42856</v>
      </c>
      <c r="B268" s="2" t="s">
        <v>63</v>
      </c>
      <c r="C268" s="44">
        <v>345.49</v>
      </c>
      <c r="D268" s="45">
        <v>12</v>
      </c>
      <c r="E268" s="44">
        <v>28.790832999999999</v>
      </c>
    </row>
    <row r="269" spans="1:5" x14ac:dyDescent="0.25">
      <c r="A269" s="3">
        <v>42856</v>
      </c>
      <c r="B269" s="2" t="s">
        <v>40</v>
      </c>
      <c r="C269" s="44">
        <v>2369.9699999999998</v>
      </c>
      <c r="D269" s="45">
        <v>9</v>
      </c>
      <c r="E269" s="44">
        <v>263.33</v>
      </c>
    </row>
    <row r="270" spans="1:5" x14ac:dyDescent="0.25">
      <c r="A270" s="3">
        <v>42856</v>
      </c>
      <c r="B270" s="2" t="s">
        <v>22</v>
      </c>
      <c r="C270" s="44">
        <v>22312.54</v>
      </c>
      <c r="D270" s="45">
        <v>271</v>
      </c>
      <c r="E270" s="44">
        <v>82.334096000000002</v>
      </c>
    </row>
    <row r="271" spans="1:5" x14ac:dyDescent="0.25">
      <c r="A271" s="3">
        <v>42856</v>
      </c>
      <c r="B271" s="2" t="s">
        <v>41</v>
      </c>
      <c r="C271" s="44">
        <v>4479.45</v>
      </c>
      <c r="D271" s="45">
        <v>32</v>
      </c>
      <c r="E271" s="44">
        <v>139.98281299999999</v>
      </c>
    </row>
    <row r="272" spans="1:5" x14ac:dyDescent="0.25">
      <c r="A272" s="3">
        <v>42856</v>
      </c>
      <c r="B272" s="2" t="s">
        <v>68</v>
      </c>
      <c r="C272" s="44">
        <v>595.89</v>
      </c>
      <c r="D272" s="45">
        <v>3</v>
      </c>
      <c r="E272" s="44">
        <v>198.63</v>
      </c>
    </row>
    <row r="273" spans="1:5" x14ac:dyDescent="0.25">
      <c r="A273" s="3">
        <v>42856</v>
      </c>
      <c r="B273" s="2" t="s">
        <v>23</v>
      </c>
      <c r="C273" s="44">
        <v>20372.57</v>
      </c>
      <c r="D273" s="45">
        <v>138</v>
      </c>
      <c r="E273" s="44">
        <v>147.627319</v>
      </c>
    </row>
    <row r="274" spans="1:5" x14ac:dyDescent="0.25">
      <c r="A274" s="3">
        <v>42856</v>
      </c>
      <c r="B274" s="2" t="s">
        <v>5</v>
      </c>
      <c r="C274" s="44">
        <v>46340.06</v>
      </c>
      <c r="D274" s="45">
        <v>284</v>
      </c>
      <c r="E274" s="44">
        <v>163.16922500000001</v>
      </c>
    </row>
    <row r="275" spans="1:5" x14ac:dyDescent="0.25">
      <c r="A275" s="3">
        <v>42856</v>
      </c>
      <c r="B275" s="2" t="s">
        <v>56</v>
      </c>
      <c r="C275" s="44">
        <v>1912.79</v>
      </c>
      <c r="D275" s="45">
        <v>28</v>
      </c>
      <c r="E275" s="44">
        <v>68.313929000000002</v>
      </c>
    </row>
    <row r="276" spans="1:5" x14ac:dyDescent="0.25">
      <c r="A276" s="3">
        <v>42856</v>
      </c>
      <c r="B276" s="2" t="s">
        <v>42</v>
      </c>
      <c r="C276" s="44">
        <v>1306.05</v>
      </c>
      <c r="D276" s="45">
        <v>7</v>
      </c>
      <c r="E276" s="44">
        <v>186.57857100000001</v>
      </c>
    </row>
    <row r="277" spans="1:5" x14ac:dyDescent="0.25">
      <c r="A277" s="3">
        <v>42856</v>
      </c>
      <c r="B277" s="2" t="s">
        <v>57</v>
      </c>
      <c r="C277" s="44">
        <v>5114.07</v>
      </c>
      <c r="D277" s="45">
        <v>35</v>
      </c>
      <c r="E277" s="44">
        <v>146.116286</v>
      </c>
    </row>
    <row r="278" spans="1:5" x14ac:dyDescent="0.25">
      <c r="A278" s="3">
        <v>42856</v>
      </c>
      <c r="B278" s="2" t="s">
        <v>58</v>
      </c>
      <c r="C278" s="44">
        <v>1620.5</v>
      </c>
      <c r="D278" s="45">
        <v>7</v>
      </c>
      <c r="E278" s="44">
        <v>231.5</v>
      </c>
    </row>
    <row r="279" spans="1:5" x14ac:dyDescent="0.25">
      <c r="A279" s="3">
        <v>42856</v>
      </c>
      <c r="B279" s="2" t="s">
        <v>24</v>
      </c>
      <c r="C279" s="44">
        <v>21374.9</v>
      </c>
      <c r="D279" s="45">
        <v>302</v>
      </c>
      <c r="E279" s="44">
        <v>70.777815000000004</v>
      </c>
    </row>
    <row r="280" spans="1:5" x14ac:dyDescent="0.25">
      <c r="A280" s="3">
        <v>42856</v>
      </c>
      <c r="B280" s="2" t="s">
        <v>25</v>
      </c>
      <c r="C280" s="44">
        <v>519.79999999999995</v>
      </c>
      <c r="D280" s="45">
        <v>2</v>
      </c>
      <c r="E280" s="44">
        <v>259.89999999999998</v>
      </c>
    </row>
    <row r="281" spans="1:5" x14ac:dyDescent="0.25">
      <c r="A281" s="3">
        <v>42856</v>
      </c>
      <c r="B281" s="2" t="s">
        <v>44</v>
      </c>
      <c r="C281" s="44">
        <v>1304.48</v>
      </c>
      <c r="D281" s="45">
        <v>9</v>
      </c>
      <c r="E281" s="44">
        <v>144.94222199999999</v>
      </c>
    </row>
    <row r="282" spans="1:5" x14ac:dyDescent="0.25">
      <c r="A282" s="3">
        <v>42856</v>
      </c>
      <c r="B282" s="2" t="s">
        <v>69</v>
      </c>
      <c r="C282" s="44">
        <v>193</v>
      </c>
      <c r="D282" s="45">
        <v>1</v>
      </c>
      <c r="E282" s="44">
        <v>193</v>
      </c>
    </row>
    <row r="283" spans="1:5" x14ac:dyDescent="0.25">
      <c r="A283" s="3">
        <v>42856</v>
      </c>
      <c r="B283" s="2" t="s">
        <v>45</v>
      </c>
      <c r="C283" s="44">
        <v>12539.62</v>
      </c>
      <c r="D283" s="45">
        <v>70</v>
      </c>
      <c r="E283" s="44">
        <v>179.137429</v>
      </c>
    </row>
    <row r="284" spans="1:5" x14ac:dyDescent="0.25">
      <c r="A284" s="3">
        <v>42856</v>
      </c>
      <c r="B284" s="2" t="s">
        <v>26</v>
      </c>
      <c r="C284" s="44">
        <v>2476.98</v>
      </c>
      <c r="D284" s="45">
        <v>22</v>
      </c>
      <c r="E284" s="44">
        <v>112.59</v>
      </c>
    </row>
    <row r="285" spans="1:5" x14ac:dyDescent="0.25">
      <c r="A285" s="3">
        <v>42856</v>
      </c>
      <c r="B285" s="2" t="s">
        <v>47</v>
      </c>
      <c r="C285" s="44">
        <v>9639.44</v>
      </c>
      <c r="D285" s="45">
        <v>20</v>
      </c>
      <c r="E285" s="44">
        <v>481.97199999999998</v>
      </c>
    </row>
    <row r="286" spans="1:5" x14ac:dyDescent="0.25">
      <c r="A286" s="3">
        <v>42856</v>
      </c>
      <c r="B286" s="2" t="s">
        <v>27</v>
      </c>
      <c r="C286" s="44">
        <v>8403.43</v>
      </c>
      <c r="D286" s="45">
        <v>56</v>
      </c>
      <c r="E286" s="44">
        <v>150.06125</v>
      </c>
    </row>
    <row r="287" spans="1:5" x14ac:dyDescent="0.25">
      <c r="A287" s="3">
        <v>42856</v>
      </c>
      <c r="B287" s="2" t="s">
        <v>70</v>
      </c>
      <c r="C287" s="44">
        <v>129.99</v>
      </c>
      <c r="D287" s="45">
        <v>1</v>
      </c>
      <c r="E287" s="44">
        <v>129.99</v>
      </c>
    </row>
    <row r="288" spans="1:5" x14ac:dyDescent="0.25">
      <c r="A288" s="3">
        <v>42856</v>
      </c>
      <c r="B288" s="2" t="s">
        <v>28</v>
      </c>
      <c r="C288" s="44">
        <v>19982.060000000001</v>
      </c>
      <c r="D288" s="45">
        <v>143</v>
      </c>
      <c r="E288" s="44">
        <v>139.73468500000001</v>
      </c>
    </row>
    <row r="289" spans="1:5" x14ac:dyDescent="0.25">
      <c r="A289" s="3">
        <v>42856</v>
      </c>
      <c r="B289" s="2" t="s">
        <v>29</v>
      </c>
      <c r="C289" s="44">
        <v>8151.02</v>
      </c>
      <c r="D289" s="45">
        <v>73</v>
      </c>
      <c r="E289" s="44">
        <v>111.657808</v>
      </c>
    </row>
    <row r="290" spans="1:5" x14ac:dyDescent="0.25">
      <c r="A290" s="3">
        <v>42856</v>
      </c>
      <c r="B290" s="2" t="s">
        <v>64</v>
      </c>
      <c r="C290" s="44">
        <v>508.85</v>
      </c>
      <c r="D290" s="45">
        <v>4</v>
      </c>
      <c r="E290" s="44">
        <v>127.21250000000001</v>
      </c>
    </row>
    <row r="291" spans="1:5" x14ac:dyDescent="0.25">
      <c r="A291" s="3">
        <v>42856</v>
      </c>
      <c r="B291" s="2" t="s">
        <v>49</v>
      </c>
      <c r="C291" s="44">
        <v>5241.4399999999996</v>
      </c>
      <c r="D291" s="45">
        <v>18</v>
      </c>
      <c r="E291" s="44">
        <v>291.19111099999998</v>
      </c>
    </row>
    <row r="292" spans="1:5" x14ac:dyDescent="0.25">
      <c r="A292" s="3">
        <v>42856</v>
      </c>
      <c r="B292" s="2" t="s">
        <v>30</v>
      </c>
      <c r="C292" s="44">
        <v>34101.730000000003</v>
      </c>
      <c r="D292" s="45">
        <v>305</v>
      </c>
      <c r="E292" s="44">
        <v>111.80895099999999</v>
      </c>
    </row>
    <row r="293" spans="1:5" x14ac:dyDescent="0.25">
      <c r="A293" s="3">
        <v>42856</v>
      </c>
      <c r="B293" s="2" t="s">
        <v>50</v>
      </c>
      <c r="C293" s="44">
        <v>5600.18</v>
      </c>
      <c r="D293" s="45">
        <v>64</v>
      </c>
      <c r="E293" s="44">
        <v>87.502813000000003</v>
      </c>
    </row>
    <row r="294" spans="1:5" x14ac:dyDescent="0.25">
      <c r="A294" s="3">
        <v>42856</v>
      </c>
      <c r="B294" s="2" t="s">
        <v>59</v>
      </c>
      <c r="C294" s="44">
        <v>1514.98</v>
      </c>
      <c r="D294" s="45">
        <v>7</v>
      </c>
      <c r="E294" s="44">
        <v>216.425714</v>
      </c>
    </row>
    <row r="295" spans="1:5" x14ac:dyDescent="0.25">
      <c r="A295" s="3">
        <v>42856</v>
      </c>
      <c r="B295" s="2" t="s">
        <v>31</v>
      </c>
      <c r="C295" s="44">
        <v>8844.39</v>
      </c>
      <c r="D295" s="45">
        <v>214</v>
      </c>
      <c r="E295" s="44">
        <v>41.328924999999998</v>
      </c>
    </row>
    <row r="296" spans="1:5" x14ac:dyDescent="0.25">
      <c r="A296" s="3">
        <v>42856</v>
      </c>
      <c r="B296" s="2" t="s">
        <v>32</v>
      </c>
      <c r="C296" s="44">
        <v>22179.25</v>
      </c>
      <c r="D296" s="45">
        <v>196</v>
      </c>
      <c r="E296" s="44">
        <v>113.15943900000001</v>
      </c>
    </row>
    <row r="297" spans="1:5" x14ac:dyDescent="0.25">
      <c r="A297" s="3">
        <v>42856</v>
      </c>
      <c r="B297" s="2" t="s">
        <v>33</v>
      </c>
      <c r="C297" s="44">
        <v>10818.34</v>
      </c>
      <c r="D297" s="45">
        <v>91</v>
      </c>
      <c r="E297" s="44">
        <v>118.882857</v>
      </c>
    </row>
    <row r="298" spans="1:5" x14ac:dyDescent="0.25">
      <c r="A298" s="3">
        <v>42856</v>
      </c>
      <c r="B298" s="2" t="s">
        <v>34</v>
      </c>
      <c r="C298" s="44">
        <v>36619.480000000003</v>
      </c>
      <c r="D298" s="45">
        <v>129</v>
      </c>
      <c r="E298" s="44">
        <v>283.871938</v>
      </c>
    </row>
    <row r="299" spans="1:5" x14ac:dyDescent="0.25">
      <c r="A299" s="3">
        <v>42887</v>
      </c>
      <c r="B299" s="2" t="s">
        <v>35</v>
      </c>
      <c r="C299" s="44">
        <v>1390</v>
      </c>
      <c r="D299" s="45">
        <v>1</v>
      </c>
      <c r="E299" s="44">
        <v>1390</v>
      </c>
    </row>
    <row r="300" spans="1:5" x14ac:dyDescent="0.25">
      <c r="A300" s="3">
        <v>42887</v>
      </c>
      <c r="B300" s="2" t="s">
        <v>6</v>
      </c>
      <c r="C300" s="44">
        <v>2084.48</v>
      </c>
      <c r="D300" s="45">
        <v>11</v>
      </c>
      <c r="E300" s="44">
        <v>189.49818200000001</v>
      </c>
    </row>
    <row r="301" spans="1:5" x14ac:dyDescent="0.25">
      <c r="A301" s="3">
        <v>42887</v>
      </c>
      <c r="B301" s="2" t="s">
        <v>60</v>
      </c>
      <c r="C301" s="44">
        <v>200.3</v>
      </c>
      <c r="D301" s="45">
        <v>4</v>
      </c>
      <c r="E301" s="44">
        <v>50.075000000000003</v>
      </c>
    </row>
    <row r="302" spans="1:5" x14ac:dyDescent="0.25">
      <c r="A302" s="3">
        <v>42887</v>
      </c>
      <c r="B302" s="2" t="s">
        <v>7</v>
      </c>
      <c r="C302" s="44">
        <v>1671</v>
      </c>
      <c r="D302" s="45">
        <v>11</v>
      </c>
      <c r="E302" s="44">
        <v>151.90909099999999</v>
      </c>
    </row>
    <row r="303" spans="1:5" x14ac:dyDescent="0.25">
      <c r="A303" s="3">
        <v>42887</v>
      </c>
      <c r="B303" s="2" t="s">
        <v>8</v>
      </c>
      <c r="C303" s="44">
        <v>29335.71</v>
      </c>
      <c r="D303" s="45">
        <v>110</v>
      </c>
      <c r="E303" s="44">
        <v>266.68827299999998</v>
      </c>
    </row>
    <row r="304" spans="1:5" x14ac:dyDescent="0.25">
      <c r="A304" s="3">
        <v>42887</v>
      </c>
      <c r="B304" s="2" t="s">
        <v>9</v>
      </c>
      <c r="C304" s="44">
        <v>7864.74</v>
      </c>
      <c r="D304" s="45">
        <v>78</v>
      </c>
      <c r="E304" s="44">
        <v>100.83</v>
      </c>
    </row>
    <row r="305" spans="1:5" x14ac:dyDescent="0.25">
      <c r="A305" s="3">
        <v>42887</v>
      </c>
      <c r="B305" s="2" t="s">
        <v>10</v>
      </c>
      <c r="C305" s="44">
        <v>33803.230000000003</v>
      </c>
      <c r="D305" s="45">
        <v>369</v>
      </c>
      <c r="E305" s="44">
        <v>91.607669000000001</v>
      </c>
    </row>
    <row r="306" spans="1:5" x14ac:dyDescent="0.25">
      <c r="A306" s="3">
        <v>42887</v>
      </c>
      <c r="B306" s="2" t="s">
        <v>36</v>
      </c>
      <c r="C306" s="44">
        <v>1922.18</v>
      </c>
      <c r="D306" s="45">
        <v>20</v>
      </c>
      <c r="E306" s="44">
        <v>96.108999999999995</v>
      </c>
    </row>
    <row r="307" spans="1:5" x14ac:dyDescent="0.25">
      <c r="A307" s="3">
        <v>42887</v>
      </c>
      <c r="B307" s="2" t="s">
        <v>65</v>
      </c>
      <c r="C307" s="44">
        <v>99</v>
      </c>
      <c r="D307" s="45">
        <v>2</v>
      </c>
      <c r="E307" s="44">
        <v>49.5</v>
      </c>
    </row>
    <row r="308" spans="1:5" x14ac:dyDescent="0.25">
      <c r="A308" s="3">
        <v>42887</v>
      </c>
      <c r="B308" s="2" t="s">
        <v>51</v>
      </c>
      <c r="C308" s="44">
        <v>145.9</v>
      </c>
      <c r="D308" s="45">
        <v>2</v>
      </c>
      <c r="E308" s="44">
        <v>72.95</v>
      </c>
    </row>
    <row r="309" spans="1:5" x14ac:dyDescent="0.25">
      <c r="A309" s="3">
        <v>42887</v>
      </c>
      <c r="B309" s="2" t="s">
        <v>66</v>
      </c>
      <c r="C309" s="44">
        <v>184.7</v>
      </c>
      <c r="D309" s="45">
        <v>3</v>
      </c>
      <c r="E309" s="44">
        <v>61.566667000000002</v>
      </c>
    </row>
    <row r="310" spans="1:5" x14ac:dyDescent="0.25">
      <c r="A310" s="3">
        <v>42887</v>
      </c>
      <c r="B310" s="2" t="s">
        <v>52</v>
      </c>
      <c r="C310" s="44">
        <v>79</v>
      </c>
      <c r="D310" s="45">
        <v>1</v>
      </c>
      <c r="E310" s="44">
        <v>79</v>
      </c>
    </row>
    <row r="311" spans="1:5" x14ac:dyDescent="0.25">
      <c r="A311" s="3">
        <v>42887</v>
      </c>
      <c r="B311" s="2" t="s">
        <v>11</v>
      </c>
      <c r="C311" s="44">
        <v>36193.699999999997</v>
      </c>
      <c r="D311" s="45">
        <v>254</v>
      </c>
      <c r="E311" s="44">
        <v>142.49488199999999</v>
      </c>
    </row>
    <row r="312" spans="1:5" x14ac:dyDescent="0.25">
      <c r="A312" s="3">
        <v>42887</v>
      </c>
      <c r="B312" s="2" t="s">
        <v>12</v>
      </c>
      <c r="C312" s="44">
        <v>5309.03</v>
      </c>
      <c r="D312" s="45">
        <v>29</v>
      </c>
      <c r="E312" s="44">
        <v>183.07</v>
      </c>
    </row>
    <row r="313" spans="1:5" x14ac:dyDescent="0.25">
      <c r="A313" s="3">
        <v>42887</v>
      </c>
      <c r="B313" s="2" t="s">
        <v>53</v>
      </c>
      <c r="C313" s="44">
        <v>376.37</v>
      </c>
      <c r="D313" s="45">
        <v>8</v>
      </c>
      <c r="E313" s="44">
        <v>47.046250000000001</v>
      </c>
    </row>
    <row r="314" spans="1:5" x14ac:dyDescent="0.25">
      <c r="A314" s="3">
        <v>42887</v>
      </c>
      <c r="B314" s="2" t="s">
        <v>13</v>
      </c>
      <c r="C314" s="44">
        <v>38109.61</v>
      </c>
      <c r="D314" s="45">
        <v>199</v>
      </c>
      <c r="E314" s="44">
        <v>191.50557800000001</v>
      </c>
    </row>
    <row r="315" spans="1:5" x14ac:dyDescent="0.25">
      <c r="A315" s="3">
        <v>42887</v>
      </c>
      <c r="B315" s="2" t="s">
        <v>55</v>
      </c>
      <c r="C315" s="44">
        <v>434.69</v>
      </c>
      <c r="D315" s="45">
        <v>4</v>
      </c>
      <c r="E315" s="44">
        <v>108.6725</v>
      </c>
    </row>
    <row r="316" spans="1:5" x14ac:dyDescent="0.25">
      <c r="A316" s="3">
        <v>42887</v>
      </c>
      <c r="B316" s="2" t="s">
        <v>61</v>
      </c>
      <c r="C316" s="44">
        <v>49.99</v>
      </c>
      <c r="D316" s="45">
        <v>1</v>
      </c>
      <c r="E316" s="44">
        <v>49.99</v>
      </c>
    </row>
    <row r="317" spans="1:5" x14ac:dyDescent="0.25">
      <c r="A317" s="3">
        <v>42887</v>
      </c>
      <c r="B317" s="2" t="s">
        <v>38</v>
      </c>
      <c r="C317" s="44">
        <v>126.69</v>
      </c>
      <c r="D317" s="45">
        <v>4</v>
      </c>
      <c r="E317" s="44">
        <v>31.672499999999999</v>
      </c>
    </row>
    <row r="318" spans="1:5" x14ac:dyDescent="0.25">
      <c r="A318" s="3">
        <v>42887</v>
      </c>
      <c r="B318" s="2" t="s">
        <v>15</v>
      </c>
      <c r="C318" s="44">
        <v>2060.04</v>
      </c>
      <c r="D318" s="45">
        <v>41</v>
      </c>
      <c r="E318" s="44">
        <v>50.244878</v>
      </c>
    </row>
    <row r="319" spans="1:5" x14ac:dyDescent="0.25">
      <c r="A319" s="3">
        <v>42887</v>
      </c>
      <c r="B319" s="2" t="s">
        <v>16</v>
      </c>
      <c r="C319" s="44">
        <v>154.80000000000001</v>
      </c>
      <c r="D319" s="45">
        <v>3</v>
      </c>
      <c r="E319" s="44">
        <v>51.6</v>
      </c>
    </row>
    <row r="320" spans="1:5" x14ac:dyDescent="0.25">
      <c r="A320" s="3">
        <v>42887</v>
      </c>
      <c r="B320" s="2" t="s">
        <v>17</v>
      </c>
      <c r="C320" s="44">
        <v>6722.13</v>
      </c>
      <c r="D320" s="45">
        <v>81</v>
      </c>
      <c r="E320" s="44">
        <v>82.989259000000004</v>
      </c>
    </row>
    <row r="321" spans="1:5" x14ac:dyDescent="0.25">
      <c r="A321" s="3">
        <v>42887</v>
      </c>
      <c r="B321" s="2" t="s">
        <v>72</v>
      </c>
      <c r="C321" s="44">
        <v>110</v>
      </c>
      <c r="D321" s="45">
        <v>1</v>
      </c>
      <c r="E321" s="44">
        <v>110</v>
      </c>
    </row>
    <row r="322" spans="1:5" x14ac:dyDescent="0.25">
      <c r="A322" s="3">
        <v>42887</v>
      </c>
      <c r="B322" s="2" t="s">
        <v>18</v>
      </c>
      <c r="C322" s="44">
        <v>519.79</v>
      </c>
      <c r="D322" s="45">
        <v>9</v>
      </c>
      <c r="E322" s="44">
        <v>57.754443999999999</v>
      </c>
    </row>
    <row r="323" spans="1:5" x14ac:dyDescent="0.25">
      <c r="A323" s="3">
        <v>42887</v>
      </c>
      <c r="B323" s="2" t="s">
        <v>19</v>
      </c>
      <c r="C323" s="44">
        <v>1279.3800000000001</v>
      </c>
      <c r="D323" s="45">
        <v>19</v>
      </c>
      <c r="E323" s="44">
        <v>67.335789000000005</v>
      </c>
    </row>
    <row r="324" spans="1:5" x14ac:dyDescent="0.25">
      <c r="A324" s="3">
        <v>42887</v>
      </c>
      <c r="B324" s="2" t="s">
        <v>62</v>
      </c>
      <c r="C324" s="44">
        <v>470.5</v>
      </c>
      <c r="D324" s="45">
        <v>5</v>
      </c>
      <c r="E324" s="44">
        <v>94.1</v>
      </c>
    </row>
    <row r="325" spans="1:5" x14ac:dyDescent="0.25">
      <c r="A325" s="3">
        <v>42887</v>
      </c>
      <c r="B325" s="2" t="s">
        <v>39</v>
      </c>
      <c r="C325" s="44">
        <v>3.9</v>
      </c>
      <c r="D325" s="45">
        <v>1</v>
      </c>
      <c r="E325" s="44">
        <v>3.9</v>
      </c>
    </row>
    <row r="326" spans="1:5" x14ac:dyDescent="0.25">
      <c r="A326" s="3">
        <v>42887</v>
      </c>
      <c r="B326" s="2" t="s">
        <v>20</v>
      </c>
      <c r="C326" s="44">
        <v>933.67</v>
      </c>
      <c r="D326" s="45">
        <v>12</v>
      </c>
      <c r="E326" s="44">
        <v>77.805833000000007</v>
      </c>
    </row>
    <row r="327" spans="1:5" x14ac:dyDescent="0.25">
      <c r="A327" s="3">
        <v>42887</v>
      </c>
      <c r="B327" s="2" t="s">
        <v>21</v>
      </c>
      <c r="C327" s="44">
        <v>149.9</v>
      </c>
      <c r="D327" s="45">
        <v>1</v>
      </c>
      <c r="E327" s="44">
        <v>149.9</v>
      </c>
    </row>
    <row r="328" spans="1:5" x14ac:dyDescent="0.25">
      <c r="A328" s="3">
        <v>42887</v>
      </c>
      <c r="B328" s="2" t="s">
        <v>63</v>
      </c>
      <c r="C328" s="44">
        <v>57.4</v>
      </c>
      <c r="D328" s="45">
        <v>2</v>
      </c>
      <c r="E328" s="44">
        <v>28.7</v>
      </c>
    </row>
    <row r="329" spans="1:5" x14ac:dyDescent="0.25">
      <c r="A329" s="3">
        <v>42887</v>
      </c>
      <c r="B329" s="2" t="s">
        <v>40</v>
      </c>
      <c r="C329" s="44">
        <v>308.99</v>
      </c>
      <c r="D329" s="45">
        <v>2</v>
      </c>
      <c r="E329" s="44">
        <v>154.495</v>
      </c>
    </row>
    <row r="330" spans="1:5" x14ac:dyDescent="0.25">
      <c r="A330" s="3">
        <v>42887</v>
      </c>
      <c r="B330" s="2" t="s">
        <v>22</v>
      </c>
      <c r="C330" s="44">
        <v>16614.29</v>
      </c>
      <c r="D330" s="45">
        <v>230</v>
      </c>
      <c r="E330" s="44">
        <v>72.236042999999995</v>
      </c>
    </row>
    <row r="331" spans="1:5" x14ac:dyDescent="0.25">
      <c r="A331" s="3">
        <v>42887</v>
      </c>
      <c r="B331" s="2" t="s">
        <v>41</v>
      </c>
      <c r="C331" s="44">
        <v>1713.3</v>
      </c>
      <c r="D331" s="45">
        <v>15</v>
      </c>
      <c r="E331" s="44">
        <v>114.22</v>
      </c>
    </row>
    <row r="332" spans="1:5" x14ac:dyDescent="0.25">
      <c r="A332" s="3">
        <v>42887</v>
      </c>
      <c r="B332" s="2" t="s">
        <v>23</v>
      </c>
      <c r="C332" s="44">
        <v>15447.09</v>
      </c>
      <c r="D332" s="45">
        <v>110</v>
      </c>
      <c r="E332" s="44">
        <v>140.42809099999999</v>
      </c>
    </row>
    <row r="333" spans="1:5" x14ac:dyDescent="0.25">
      <c r="A333" s="3">
        <v>42887</v>
      </c>
      <c r="B333" s="2" t="s">
        <v>5</v>
      </c>
      <c r="C333" s="44">
        <v>31676.81</v>
      </c>
      <c r="D333" s="45">
        <v>254</v>
      </c>
      <c r="E333" s="44">
        <v>124.71185</v>
      </c>
    </row>
    <row r="334" spans="1:5" x14ac:dyDescent="0.25">
      <c r="A334" s="3">
        <v>42887</v>
      </c>
      <c r="B334" s="2" t="s">
        <v>56</v>
      </c>
      <c r="C334" s="44">
        <v>2507.19</v>
      </c>
      <c r="D334" s="45">
        <v>43</v>
      </c>
      <c r="E334" s="44">
        <v>58.306744000000002</v>
      </c>
    </row>
    <row r="335" spans="1:5" x14ac:dyDescent="0.25">
      <c r="A335" s="3">
        <v>42887</v>
      </c>
      <c r="B335" s="2" t="s">
        <v>42</v>
      </c>
      <c r="C335" s="44">
        <v>1213.8699999999999</v>
      </c>
      <c r="D335" s="45">
        <v>6</v>
      </c>
      <c r="E335" s="44">
        <v>202.311667</v>
      </c>
    </row>
    <row r="336" spans="1:5" x14ac:dyDescent="0.25">
      <c r="A336" s="3">
        <v>42887</v>
      </c>
      <c r="B336" s="2" t="s">
        <v>43</v>
      </c>
      <c r="C336" s="44">
        <v>12.9</v>
      </c>
      <c r="D336" s="45">
        <v>1</v>
      </c>
      <c r="E336" s="44">
        <v>12.9</v>
      </c>
    </row>
    <row r="337" spans="1:5" x14ac:dyDescent="0.25">
      <c r="A337" s="3">
        <v>42887</v>
      </c>
      <c r="B337" s="2" t="s">
        <v>57</v>
      </c>
      <c r="C337" s="44">
        <v>2818.2</v>
      </c>
      <c r="D337" s="45">
        <v>17</v>
      </c>
      <c r="E337" s="44">
        <v>165.77647099999999</v>
      </c>
    </row>
    <row r="338" spans="1:5" x14ac:dyDescent="0.25">
      <c r="A338" s="3">
        <v>42887</v>
      </c>
      <c r="B338" s="2" t="s">
        <v>58</v>
      </c>
      <c r="C338" s="44">
        <v>1992.3</v>
      </c>
      <c r="D338" s="45">
        <v>8</v>
      </c>
      <c r="E338" s="44">
        <v>249.03749999999999</v>
      </c>
    </row>
    <row r="339" spans="1:5" x14ac:dyDescent="0.25">
      <c r="A339" s="3">
        <v>42887</v>
      </c>
      <c r="B339" s="2" t="s">
        <v>24</v>
      </c>
      <c r="C339" s="44">
        <v>22978.21</v>
      </c>
      <c r="D339" s="45">
        <v>321</v>
      </c>
      <c r="E339" s="44">
        <v>71.583208999999997</v>
      </c>
    </row>
    <row r="340" spans="1:5" x14ac:dyDescent="0.25">
      <c r="A340" s="3">
        <v>42887</v>
      </c>
      <c r="B340" s="2" t="s">
        <v>25</v>
      </c>
      <c r="C340" s="44">
        <v>276.97000000000003</v>
      </c>
      <c r="D340" s="45">
        <v>2</v>
      </c>
      <c r="E340" s="44">
        <v>138.48500000000001</v>
      </c>
    </row>
    <row r="341" spans="1:5" x14ac:dyDescent="0.25">
      <c r="A341" s="3">
        <v>42887</v>
      </c>
      <c r="B341" s="2" t="s">
        <v>44</v>
      </c>
      <c r="C341" s="44">
        <v>374.8</v>
      </c>
      <c r="D341" s="45">
        <v>4</v>
      </c>
      <c r="E341" s="44">
        <v>93.7</v>
      </c>
    </row>
    <row r="342" spans="1:5" x14ac:dyDescent="0.25">
      <c r="A342" s="3">
        <v>42887</v>
      </c>
      <c r="B342" s="2" t="s">
        <v>45</v>
      </c>
      <c r="C342" s="44">
        <v>8142.19</v>
      </c>
      <c r="D342" s="45">
        <v>60</v>
      </c>
      <c r="E342" s="44">
        <v>135.70316700000001</v>
      </c>
    </row>
    <row r="343" spans="1:5" x14ac:dyDescent="0.25">
      <c r="A343" s="3">
        <v>42887</v>
      </c>
      <c r="B343" s="2" t="s">
        <v>26</v>
      </c>
      <c r="C343" s="44">
        <v>1258.95</v>
      </c>
      <c r="D343" s="45">
        <v>16</v>
      </c>
      <c r="E343" s="44">
        <v>78.684375000000003</v>
      </c>
    </row>
    <row r="344" spans="1:5" x14ac:dyDescent="0.25">
      <c r="A344" s="3">
        <v>42887</v>
      </c>
      <c r="B344" s="2" t="s">
        <v>46</v>
      </c>
      <c r="C344" s="44">
        <v>1066.9000000000001</v>
      </c>
      <c r="D344" s="45">
        <v>4</v>
      </c>
      <c r="E344" s="44">
        <v>266.72500000000002</v>
      </c>
    </row>
    <row r="345" spans="1:5" x14ac:dyDescent="0.25">
      <c r="A345" s="3">
        <v>42887</v>
      </c>
      <c r="B345" s="2" t="s">
        <v>47</v>
      </c>
      <c r="C345" s="44">
        <v>4993.05</v>
      </c>
      <c r="D345" s="45">
        <v>20</v>
      </c>
      <c r="E345" s="44">
        <v>249.6525</v>
      </c>
    </row>
    <row r="346" spans="1:5" x14ac:dyDescent="0.25">
      <c r="A346" s="3">
        <v>42887</v>
      </c>
      <c r="B346" s="2" t="s">
        <v>27</v>
      </c>
      <c r="C346" s="44">
        <v>7279.13</v>
      </c>
      <c r="D346" s="45">
        <v>50</v>
      </c>
      <c r="E346" s="44">
        <v>145.58260000000001</v>
      </c>
    </row>
    <row r="347" spans="1:5" x14ac:dyDescent="0.25">
      <c r="A347" s="3">
        <v>42887</v>
      </c>
      <c r="B347" s="2" t="s">
        <v>70</v>
      </c>
      <c r="C347" s="44">
        <v>129.99</v>
      </c>
      <c r="D347" s="45">
        <v>1</v>
      </c>
      <c r="E347" s="44">
        <v>129.99</v>
      </c>
    </row>
    <row r="348" spans="1:5" x14ac:dyDescent="0.25">
      <c r="A348" s="3">
        <v>42887</v>
      </c>
      <c r="B348" s="2" t="s">
        <v>28</v>
      </c>
      <c r="C348" s="44">
        <v>23954.32</v>
      </c>
      <c r="D348" s="45">
        <v>148</v>
      </c>
      <c r="E348" s="44">
        <v>161.85351399999999</v>
      </c>
    </row>
    <row r="349" spans="1:5" x14ac:dyDescent="0.25">
      <c r="A349" s="3">
        <v>42887</v>
      </c>
      <c r="B349" s="2" t="s">
        <v>29</v>
      </c>
      <c r="C349" s="44">
        <v>5123.57</v>
      </c>
      <c r="D349" s="45">
        <v>63</v>
      </c>
      <c r="E349" s="44">
        <v>81.326508000000004</v>
      </c>
    </row>
    <row r="350" spans="1:5" x14ac:dyDescent="0.25">
      <c r="A350" s="3">
        <v>42887</v>
      </c>
      <c r="B350" s="2" t="s">
        <v>64</v>
      </c>
      <c r="C350" s="44">
        <v>134</v>
      </c>
      <c r="D350" s="45">
        <v>1</v>
      </c>
      <c r="E350" s="44">
        <v>134</v>
      </c>
    </row>
    <row r="351" spans="1:5" x14ac:dyDescent="0.25">
      <c r="A351" s="3">
        <v>42887</v>
      </c>
      <c r="B351" s="2" t="s">
        <v>49</v>
      </c>
      <c r="C351" s="44">
        <v>9698.81</v>
      </c>
      <c r="D351" s="45">
        <v>23</v>
      </c>
      <c r="E351" s="44">
        <v>421.68739099999999</v>
      </c>
    </row>
    <row r="352" spans="1:5" x14ac:dyDescent="0.25">
      <c r="A352" s="3">
        <v>42887</v>
      </c>
      <c r="B352" s="2" t="s">
        <v>73</v>
      </c>
      <c r="C352" s="44">
        <v>71.900000000000006</v>
      </c>
      <c r="D352" s="45">
        <v>1</v>
      </c>
      <c r="E352" s="44">
        <v>71.900000000000006</v>
      </c>
    </row>
    <row r="353" spans="1:5" x14ac:dyDescent="0.25">
      <c r="A353" s="3">
        <v>42887</v>
      </c>
      <c r="B353" s="2" t="s">
        <v>30</v>
      </c>
      <c r="C353" s="44">
        <v>32066.93</v>
      </c>
      <c r="D353" s="45">
        <v>269</v>
      </c>
      <c r="E353" s="44">
        <v>119.20791800000001</v>
      </c>
    </row>
    <row r="354" spans="1:5" x14ac:dyDescent="0.25">
      <c r="A354" s="3">
        <v>42887</v>
      </c>
      <c r="B354" s="2" t="s">
        <v>50</v>
      </c>
      <c r="C354" s="44">
        <v>3493.57</v>
      </c>
      <c r="D354" s="45">
        <v>38</v>
      </c>
      <c r="E354" s="44">
        <v>91.936053000000001</v>
      </c>
    </row>
    <row r="355" spans="1:5" x14ac:dyDescent="0.25">
      <c r="A355" s="3">
        <v>42887</v>
      </c>
      <c r="B355" s="2" t="s">
        <v>59</v>
      </c>
      <c r="C355" s="44">
        <v>594</v>
      </c>
      <c r="D355" s="45">
        <v>6</v>
      </c>
      <c r="E355" s="44">
        <v>99</v>
      </c>
    </row>
    <row r="356" spans="1:5" x14ac:dyDescent="0.25">
      <c r="A356" s="3">
        <v>42887</v>
      </c>
      <c r="B356" s="2" t="s">
        <v>31</v>
      </c>
      <c r="C356" s="44">
        <v>6561.73</v>
      </c>
      <c r="D356" s="45">
        <v>157</v>
      </c>
      <c r="E356" s="44">
        <v>41.794459000000003</v>
      </c>
    </row>
    <row r="357" spans="1:5" x14ac:dyDescent="0.25">
      <c r="A357" s="3">
        <v>42887</v>
      </c>
      <c r="B357" s="2" t="s">
        <v>32</v>
      </c>
      <c r="C357" s="44">
        <v>15337.55</v>
      </c>
      <c r="D357" s="45">
        <v>156</v>
      </c>
      <c r="E357" s="44">
        <v>98.317627999999999</v>
      </c>
    </row>
    <row r="358" spans="1:5" x14ac:dyDescent="0.25">
      <c r="A358" s="3">
        <v>42887</v>
      </c>
      <c r="B358" s="2" t="s">
        <v>33</v>
      </c>
      <c r="C358" s="44">
        <v>4902.3999999999996</v>
      </c>
      <c r="D358" s="45">
        <v>58</v>
      </c>
      <c r="E358" s="44">
        <v>84.524137999999994</v>
      </c>
    </row>
    <row r="359" spans="1:5" x14ac:dyDescent="0.25">
      <c r="A359" s="3">
        <v>42887</v>
      </c>
      <c r="B359" s="2" t="s">
        <v>34</v>
      </c>
      <c r="C359" s="44">
        <v>27337.63</v>
      </c>
      <c r="D359" s="45">
        <v>119</v>
      </c>
      <c r="E359" s="44">
        <v>229.72798299999999</v>
      </c>
    </row>
    <row r="360" spans="1:5" x14ac:dyDescent="0.25">
      <c r="A360" s="3">
        <v>42917</v>
      </c>
      <c r="B360" s="2" t="s">
        <v>35</v>
      </c>
      <c r="C360" s="44">
        <v>1180</v>
      </c>
      <c r="D360" s="45">
        <v>1</v>
      </c>
      <c r="E360" s="44">
        <v>1180</v>
      </c>
    </row>
    <row r="361" spans="1:5" x14ac:dyDescent="0.25">
      <c r="A361" s="3">
        <v>42917</v>
      </c>
      <c r="B361" s="2" t="s">
        <v>6</v>
      </c>
      <c r="C361" s="44">
        <v>1396.1</v>
      </c>
      <c r="D361" s="45">
        <v>5</v>
      </c>
      <c r="E361" s="44">
        <v>279.22000000000003</v>
      </c>
    </row>
    <row r="362" spans="1:5" x14ac:dyDescent="0.25">
      <c r="A362" s="3">
        <v>42917</v>
      </c>
      <c r="B362" s="2" t="s">
        <v>60</v>
      </c>
      <c r="C362" s="44">
        <v>386.75</v>
      </c>
      <c r="D362" s="45">
        <v>3</v>
      </c>
      <c r="E362" s="44">
        <v>128.91666699999999</v>
      </c>
    </row>
    <row r="363" spans="1:5" x14ac:dyDescent="0.25">
      <c r="A363" s="3">
        <v>42917</v>
      </c>
      <c r="B363" s="2" t="s">
        <v>71</v>
      </c>
      <c r="C363" s="44">
        <v>129.9</v>
      </c>
      <c r="D363" s="45">
        <v>1</v>
      </c>
      <c r="E363" s="44">
        <v>129.9</v>
      </c>
    </row>
    <row r="364" spans="1:5" x14ac:dyDescent="0.25">
      <c r="A364" s="3">
        <v>42917</v>
      </c>
      <c r="B364" s="2" t="s">
        <v>7</v>
      </c>
      <c r="C364" s="44">
        <v>673.69</v>
      </c>
      <c r="D364" s="45">
        <v>6</v>
      </c>
      <c r="E364" s="44">
        <v>112.281667</v>
      </c>
    </row>
    <row r="365" spans="1:5" x14ac:dyDescent="0.25">
      <c r="A365" s="3">
        <v>42917</v>
      </c>
      <c r="B365" s="2" t="s">
        <v>8</v>
      </c>
      <c r="C365" s="44">
        <v>13886.85</v>
      </c>
      <c r="D365" s="45">
        <v>114</v>
      </c>
      <c r="E365" s="44">
        <v>121.814474</v>
      </c>
    </row>
    <row r="366" spans="1:5" x14ac:dyDescent="0.25">
      <c r="A366" s="3">
        <v>42917</v>
      </c>
      <c r="B366" s="2" t="s">
        <v>9</v>
      </c>
      <c r="C366" s="44">
        <v>15461.41</v>
      </c>
      <c r="D366" s="45">
        <v>125</v>
      </c>
      <c r="E366" s="44">
        <v>123.69128000000001</v>
      </c>
    </row>
    <row r="367" spans="1:5" x14ac:dyDescent="0.25">
      <c r="A367" s="3">
        <v>42917</v>
      </c>
      <c r="B367" s="2" t="s">
        <v>10</v>
      </c>
      <c r="C367" s="44">
        <v>62786.96</v>
      </c>
      <c r="D367" s="45">
        <v>569</v>
      </c>
      <c r="E367" s="44">
        <v>110.34615100000001</v>
      </c>
    </row>
    <row r="368" spans="1:5" x14ac:dyDescent="0.25">
      <c r="A368" s="3">
        <v>42917</v>
      </c>
      <c r="B368" s="2" t="s">
        <v>36</v>
      </c>
      <c r="C368" s="44">
        <v>1292.4000000000001</v>
      </c>
      <c r="D368" s="45">
        <v>13</v>
      </c>
      <c r="E368" s="44">
        <v>99.415385000000001</v>
      </c>
    </row>
    <row r="369" spans="1:5" x14ac:dyDescent="0.25">
      <c r="A369" s="3">
        <v>42917</v>
      </c>
      <c r="B369" s="2" t="s">
        <v>51</v>
      </c>
      <c r="C369" s="44">
        <v>528</v>
      </c>
      <c r="D369" s="45">
        <v>2</v>
      </c>
      <c r="E369" s="44">
        <v>264</v>
      </c>
    </row>
    <row r="370" spans="1:5" x14ac:dyDescent="0.25">
      <c r="A370" s="3">
        <v>42917</v>
      </c>
      <c r="B370" s="2" t="s">
        <v>74</v>
      </c>
      <c r="C370" s="44">
        <v>225</v>
      </c>
      <c r="D370" s="45">
        <v>5</v>
      </c>
      <c r="E370" s="44">
        <v>45</v>
      </c>
    </row>
    <row r="371" spans="1:5" x14ac:dyDescent="0.25">
      <c r="A371" s="3">
        <v>42917</v>
      </c>
      <c r="B371" s="2" t="s">
        <v>66</v>
      </c>
      <c r="C371" s="44">
        <v>65.09</v>
      </c>
      <c r="D371" s="45">
        <v>2</v>
      </c>
      <c r="E371" s="44">
        <v>32.545000000000002</v>
      </c>
    </row>
    <row r="372" spans="1:5" x14ac:dyDescent="0.25">
      <c r="A372" s="3">
        <v>42917</v>
      </c>
      <c r="B372" s="2" t="s">
        <v>11</v>
      </c>
      <c r="C372" s="44">
        <v>38176.22</v>
      </c>
      <c r="D372" s="45">
        <v>320</v>
      </c>
      <c r="E372" s="44">
        <v>119.30068799999999</v>
      </c>
    </row>
    <row r="373" spans="1:5" x14ac:dyDescent="0.25">
      <c r="A373" s="3">
        <v>42917</v>
      </c>
      <c r="B373" s="2" t="s">
        <v>12</v>
      </c>
      <c r="C373" s="44">
        <v>5411.24</v>
      </c>
      <c r="D373" s="45">
        <v>47</v>
      </c>
      <c r="E373" s="44">
        <v>115.132766</v>
      </c>
    </row>
    <row r="374" spans="1:5" x14ac:dyDescent="0.25">
      <c r="A374" s="3">
        <v>42917</v>
      </c>
      <c r="B374" s="2" t="s">
        <v>53</v>
      </c>
      <c r="C374" s="44">
        <v>549.44000000000005</v>
      </c>
      <c r="D374" s="45">
        <v>6</v>
      </c>
      <c r="E374" s="44">
        <v>91.573333000000005</v>
      </c>
    </row>
    <row r="375" spans="1:5" x14ac:dyDescent="0.25">
      <c r="A375" s="3">
        <v>42917</v>
      </c>
      <c r="B375" s="2" t="s">
        <v>75</v>
      </c>
      <c r="C375" s="44">
        <v>360</v>
      </c>
      <c r="D375" s="45">
        <v>1</v>
      </c>
      <c r="E375" s="44">
        <v>360</v>
      </c>
    </row>
    <row r="376" spans="1:5" x14ac:dyDescent="0.25">
      <c r="A376" s="3">
        <v>42917</v>
      </c>
      <c r="B376" s="2" t="s">
        <v>13</v>
      </c>
      <c r="C376" s="44">
        <v>36653.46</v>
      </c>
      <c r="D376" s="45">
        <v>228</v>
      </c>
      <c r="E376" s="44">
        <v>160.76078899999999</v>
      </c>
    </row>
    <row r="377" spans="1:5" x14ac:dyDescent="0.25">
      <c r="A377" s="3">
        <v>42917</v>
      </c>
      <c r="B377" s="2" t="s">
        <v>55</v>
      </c>
      <c r="C377" s="44">
        <v>347.58</v>
      </c>
      <c r="D377" s="45">
        <v>8</v>
      </c>
      <c r="E377" s="44">
        <v>43.447499999999998</v>
      </c>
    </row>
    <row r="378" spans="1:5" x14ac:dyDescent="0.25">
      <c r="A378" s="3">
        <v>42917</v>
      </c>
      <c r="B378" s="2" t="s">
        <v>61</v>
      </c>
      <c r="C378" s="44">
        <v>273.97000000000003</v>
      </c>
      <c r="D378" s="45">
        <v>3</v>
      </c>
      <c r="E378" s="44">
        <v>91.323333000000005</v>
      </c>
    </row>
    <row r="379" spans="1:5" x14ac:dyDescent="0.25">
      <c r="A379" s="3">
        <v>42917</v>
      </c>
      <c r="B379" s="2" t="s">
        <v>38</v>
      </c>
      <c r="C379" s="44">
        <v>732.8</v>
      </c>
      <c r="D379" s="45">
        <v>3</v>
      </c>
      <c r="E379" s="44">
        <v>244.26666700000001</v>
      </c>
    </row>
    <row r="380" spans="1:5" x14ac:dyDescent="0.25">
      <c r="A380" s="3">
        <v>42917</v>
      </c>
      <c r="B380" s="2" t="s">
        <v>15</v>
      </c>
      <c r="C380" s="44">
        <v>7266.04</v>
      </c>
      <c r="D380" s="45">
        <v>94</v>
      </c>
      <c r="E380" s="44">
        <v>77.298298000000003</v>
      </c>
    </row>
    <row r="381" spans="1:5" x14ac:dyDescent="0.25">
      <c r="A381" s="3">
        <v>42917</v>
      </c>
      <c r="B381" s="2" t="s">
        <v>16</v>
      </c>
      <c r="C381" s="44">
        <v>310.7</v>
      </c>
      <c r="D381" s="45">
        <v>4</v>
      </c>
      <c r="E381" s="44">
        <v>77.674999999999997</v>
      </c>
    </row>
    <row r="382" spans="1:5" x14ac:dyDescent="0.25">
      <c r="A382" s="3">
        <v>42917</v>
      </c>
      <c r="B382" s="2" t="s">
        <v>17</v>
      </c>
      <c r="C382" s="44">
        <v>5063.21</v>
      </c>
      <c r="D382" s="45">
        <v>86</v>
      </c>
      <c r="E382" s="44">
        <v>58.874535000000002</v>
      </c>
    </row>
    <row r="383" spans="1:5" x14ac:dyDescent="0.25">
      <c r="A383" s="3">
        <v>42917</v>
      </c>
      <c r="B383" s="2" t="s">
        <v>18</v>
      </c>
      <c r="C383" s="44">
        <v>719.99</v>
      </c>
      <c r="D383" s="45">
        <v>9</v>
      </c>
      <c r="E383" s="44">
        <v>79.998889000000005</v>
      </c>
    </row>
    <row r="384" spans="1:5" x14ac:dyDescent="0.25">
      <c r="A384" s="3">
        <v>42917</v>
      </c>
      <c r="B384" s="2" t="s">
        <v>19</v>
      </c>
      <c r="C384" s="44">
        <v>1283.02</v>
      </c>
      <c r="D384" s="45">
        <v>19</v>
      </c>
      <c r="E384" s="44">
        <v>67.527367999999996</v>
      </c>
    </row>
    <row r="385" spans="1:5" x14ac:dyDescent="0.25">
      <c r="A385" s="3">
        <v>42917</v>
      </c>
      <c r="B385" s="2" t="s">
        <v>62</v>
      </c>
      <c r="C385" s="44">
        <v>69.900000000000006</v>
      </c>
      <c r="D385" s="45">
        <v>1</v>
      </c>
      <c r="E385" s="44">
        <v>69.900000000000006</v>
      </c>
    </row>
    <row r="386" spans="1:5" x14ac:dyDescent="0.25">
      <c r="A386" s="3">
        <v>42917</v>
      </c>
      <c r="B386" s="2" t="s">
        <v>39</v>
      </c>
      <c r="C386" s="44">
        <v>274.8</v>
      </c>
      <c r="D386" s="45">
        <v>3</v>
      </c>
      <c r="E386" s="44">
        <v>91.6</v>
      </c>
    </row>
    <row r="387" spans="1:5" x14ac:dyDescent="0.25">
      <c r="A387" s="3">
        <v>42917</v>
      </c>
      <c r="B387" s="2" t="s">
        <v>20</v>
      </c>
      <c r="C387" s="44">
        <v>218.73</v>
      </c>
      <c r="D387" s="45">
        <v>9</v>
      </c>
      <c r="E387" s="44">
        <v>24.303332999999999</v>
      </c>
    </row>
    <row r="388" spans="1:5" x14ac:dyDescent="0.25">
      <c r="A388" s="3">
        <v>42917</v>
      </c>
      <c r="B388" s="2" t="s">
        <v>21</v>
      </c>
      <c r="C388" s="44">
        <v>584.16</v>
      </c>
      <c r="D388" s="45">
        <v>7</v>
      </c>
      <c r="E388" s="44">
        <v>83.451429000000005</v>
      </c>
    </row>
    <row r="389" spans="1:5" x14ac:dyDescent="0.25">
      <c r="A389" s="3">
        <v>42917</v>
      </c>
      <c r="B389" s="2" t="s">
        <v>63</v>
      </c>
      <c r="C389" s="44">
        <v>168.2</v>
      </c>
      <c r="D389" s="45">
        <v>8</v>
      </c>
      <c r="E389" s="44">
        <v>21.024999999999999</v>
      </c>
    </row>
    <row r="390" spans="1:5" x14ac:dyDescent="0.25">
      <c r="A390" s="3">
        <v>42917</v>
      </c>
      <c r="B390" s="2" t="s">
        <v>40</v>
      </c>
      <c r="C390" s="44">
        <v>1077.99</v>
      </c>
      <c r="D390" s="45">
        <v>4</v>
      </c>
      <c r="E390" s="44">
        <v>269.4975</v>
      </c>
    </row>
    <row r="391" spans="1:5" x14ac:dyDescent="0.25">
      <c r="A391" s="3">
        <v>42917</v>
      </c>
      <c r="B391" s="2" t="s">
        <v>22</v>
      </c>
      <c r="C391" s="44">
        <v>24028.12</v>
      </c>
      <c r="D391" s="45">
        <v>314</v>
      </c>
      <c r="E391" s="44">
        <v>76.522675000000007</v>
      </c>
    </row>
    <row r="392" spans="1:5" x14ac:dyDescent="0.25">
      <c r="A392" s="3">
        <v>42917</v>
      </c>
      <c r="B392" s="2" t="s">
        <v>41</v>
      </c>
      <c r="C392" s="44">
        <v>3826.12</v>
      </c>
      <c r="D392" s="45">
        <v>30</v>
      </c>
      <c r="E392" s="44">
        <v>127.537333</v>
      </c>
    </row>
    <row r="393" spans="1:5" x14ac:dyDescent="0.25">
      <c r="A393" s="3">
        <v>42917</v>
      </c>
      <c r="B393" s="2" t="s">
        <v>68</v>
      </c>
      <c r="C393" s="44">
        <v>109.4</v>
      </c>
      <c r="D393" s="45">
        <v>1</v>
      </c>
      <c r="E393" s="44">
        <v>109.4</v>
      </c>
    </row>
    <row r="394" spans="1:5" x14ac:dyDescent="0.25">
      <c r="A394" s="3">
        <v>42917</v>
      </c>
      <c r="B394" s="2" t="s">
        <v>23</v>
      </c>
      <c r="C394" s="44">
        <v>18951.3</v>
      </c>
      <c r="D394" s="45">
        <v>184</v>
      </c>
      <c r="E394" s="44">
        <v>102.996196</v>
      </c>
    </row>
    <row r="395" spans="1:5" x14ac:dyDescent="0.25">
      <c r="A395" s="3">
        <v>42917</v>
      </c>
      <c r="B395" s="2" t="s">
        <v>5</v>
      </c>
      <c r="C395" s="44">
        <v>34239.449999999997</v>
      </c>
      <c r="D395" s="45">
        <v>308</v>
      </c>
      <c r="E395" s="44">
        <v>111.167045</v>
      </c>
    </row>
    <row r="396" spans="1:5" x14ac:dyDescent="0.25">
      <c r="A396" s="3">
        <v>42917</v>
      </c>
      <c r="B396" s="2" t="s">
        <v>56</v>
      </c>
      <c r="C396" s="44">
        <v>3671.99</v>
      </c>
      <c r="D396" s="45">
        <v>37</v>
      </c>
      <c r="E396" s="44">
        <v>99.242973000000006</v>
      </c>
    </row>
    <row r="397" spans="1:5" x14ac:dyDescent="0.25">
      <c r="A397" s="3">
        <v>42917</v>
      </c>
      <c r="B397" s="2" t="s">
        <v>42</v>
      </c>
      <c r="C397" s="44">
        <v>1033.99</v>
      </c>
      <c r="D397" s="45">
        <v>7</v>
      </c>
      <c r="E397" s="44">
        <v>147.71285700000001</v>
      </c>
    </row>
    <row r="398" spans="1:5" x14ac:dyDescent="0.25">
      <c r="A398" s="3">
        <v>42917</v>
      </c>
      <c r="B398" s="2" t="s">
        <v>43</v>
      </c>
      <c r="C398" s="44">
        <v>12.9</v>
      </c>
      <c r="D398" s="45">
        <v>1</v>
      </c>
      <c r="E398" s="44">
        <v>12.9</v>
      </c>
    </row>
    <row r="399" spans="1:5" x14ac:dyDescent="0.25">
      <c r="A399" s="3">
        <v>42917</v>
      </c>
      <c r="B399" s="2" t="s">
        <v>57</v>
      </c>
      <c r="C399" s="44">
        <v>4563.8500000000004</v>
      </c>
      <c r="D399" s="45">
        <v>43</v>
      </c>
      <c r="E399" s="44">
        <v>106.136047</v>
      </c>
    </row>
    <row r="400" spans="1:5" x14ac:dyDescent="0.25">
      <c r="A400" s="3">
        <v>42917</v>
      </c>
      <c r="B400" s="2" t="s">
        <v>58</v>
      </c>
      <c r="C400" s="44">
        <v>93.6</v>
      </c>
      <c r="D400" s="45">
        <v>2</v>
      </c>
      <c r="E400" s="44">
        <v>46.8</v>
      </c>
    </row>
    <row r="401" spans="1:5" x14ac:dyDescent="0.25">
      <c r="A401" s="3">
        <v>42917</v>
      </c>
      <c r="B401" s="2" t="s">
        <v>24</v>
      </c>
      <c r="C401" s="44">
        <v>20251.53</v>
      </c>
      <c r="D401" s="45">
        <v>271</v>
      </c>
      <c r="E401" s="44">
        <v>74.728892999999999</v>
      </c>
    </row>
    <row r="402" spans="1:5" x14ac:dyDescent="0.25">
      <c r="A402" s="3">
        <v>42917</v>
      </c>
      <c r="B402" s="2" t="s">
        <v>25</v>
      </c>
      <c r="C402" s="44">
        <v>245.96</v>
      </c>
      <c r="D402" s="45">
        <v>2</v>
      </c>
      <c r="E402" s="44">
        <v>122.98</v>
      </c>
    </row>
    <row r="403" spans="1:5" x14ac:dyDescent="0.25">
      <c r="A403" s="3">
        <v>42917</v>
      </c>
      <c r="B403" s="2" t="s">
        <v>44</v>
      </c>
      <c r="C403" s="44">
        <v>1316.5</v>
      </c>
      <c r="D403" s="45">
        <v>11</v>
      </c>
      <c r="E403" s="44">
        <v>119.68181800000001</v>
      </c>
    </row>
    <row r="404" spans="1:5" x14ac:dyDescent="0.25">
      <c r="A404" s="3">
        <v>42917</v>
      </c>
      <c r="B404" s="2" t="s">
        <v>69</v>
      </c>
      <c r="C404" s="44">
        <v>469.99</v>
      </c>
      <c r="D404" s="45">
        <v>4</v>
      </c>
      <c r="E404" s="44">
        <v>117.4975</v>
      </c>
    </row>
    <row r="405" spans="1:5" x14ac:dyDescent="0.25">
      <c r="A405" s="3">
        <v>42917</v>
      </c>
      <c r="B405" s="2" t="s">
        <v>45</v>
      </c>
      <c r="C405" s="44">
        <v>8311.7099999999991</v>
      </c>
      <c r="D405" s="45">
        <v>73</v>
      </c>
      <c r="E405" s="44">
        <v>113.859041</v>
      </c>
    </row>
    <row r="406" spans="1:5" x14ac:dyDescent="0.25">
      <c r="A406" s="3">
        <v>42917</v>
      </c>
      <c r="B406" s="2" t="s">
        <v>26</v>
      </c>
      <c r="C406" s="44">
        <v>1573.38</v>
      </c>
      <c r="D406" s="45">
        <v>13</v>
      </c>
      <c r="E406" s="44">
        <v>121.029231</v>
      </c>
    </row>
    <row r="407" spans="1:5" x14ac:dyDescent="0.25">
      <c r="A407" s="3">
        <v>42917</v>
      </c>
      <c r="B407" s="2" t="s">
        <v>46</v>
      </c>
      <c r="C407" s="44">
        <v>329</v>
      </c>
      <c r="D407" s="45">
        <v>1</v>
      </c>
      <c r="E407" s="44">
        <v>329</v>
      </c>
    </row>
    <row r="408" spans="1:5" x14ac:dyDescent="0.25">
      <c r="A408" s="3">
        <v>42917</v>
      </c>
      <c r="B408" s="2" t="s">
        <v>47</v>
      </c>
      <c r="C408" s="44">
        <v>7282.59</v>
      </c>
      <c r="D408" s="45">
        <v>30</v>
      </c>
      <c r="E408" s="44">
        <v>242.75299999999999</v>
      </c>
    </row>
    <row r="409" spans="1:5" x14ac:dyDescent="0.25">
      <c r="A409" s="3">
        <v>42917</v>
      </c>
      <c r="B409" s="2" t="s">
        <v>27</v>
      </c>
      <c r="C409" s="44">
        <v>16892.61</v>
      </c>
      <c r="D409" s="45">
        <v>115</v>
      </c>
      <c r="E409" s="44">
        <v>146.89226099999999</v>
      </c>
    </row>
    <row r="410" spans="1:5" x14ac:dyDescent="0.25">
      <c r="A410" s="3">
        <v>42917</v>
      </c>
      <c r="B410" s="2" t="s">
        <v>76</v>
      </c>
      <c r="C410" s="44">
        <v>69.900000000000006</v>
      </c>
      <c r="D410" s="45">
        <v>1</v>
      </c>
      <c r="E410" s="44">
        <v>69.900000000000006</v>
      </c>
    </row>
    <row r="411" spans="1:5" x14ac:dyDescent="0.25">
      <c r="A411" s="3">
        <v>42917</v>
      </c>
      <c r="B411" s="2" t="s">
        <v>28</v>
      </c>
      <c r="C411" s="44">
        <v>12734.25</v>
      </c>
      <c r="D411" s="45">
        <v>121</v>
      </c>
      <c r="E411" s="44">
        <v>105.241736</v>
      </c>
    </row>
    <row r="412" spans="1:5" x14ac:dyDescent="0.25">
      <c r="A412" s="3">
        <v>42917</v>
      </c>
      <c r="B412" s="2" t="s">
        <v>29</v>
      </c>
      <c r="C412" s="44">
        <v>6575.97</v>
      </c>
      <c r="D412" s="45">
        <v>85</v>
      </c>
      <c r="E412" s="44">
        <v>77.364352999999994</v>
      </c>
    </row>
    <row r="413" spans="1:5" x14ac:dyDescent="0.25">
      <c r="A413" s="3">
        <v>42917</v>
      </c>
      <c r="B413" s="2" t="s">
        <v>64</v>
      </c>
      <c r="C413" s="44">
        <v>475.91</v>
      </c>
      <c r="D413" s="45">
        <v>5</v>
      </c>
      <c r="E413" s="44">
        <v>95.182000000000002</v>
      </c>
    </row>
    <row r="414" spans="1:5" x14ac:dyDescent="0.25">
      <c r="A414" s="3">
        <v>42917</v>
      </c>
      <c r="B414" s="2" t="s">
        <v>49</v>
      </c>
      <c r="C414" s="44">
        <v>3587.23</v>
      </c>
      <c r="D414" s="45">
        <v>31</v>
      </c>
      <c r="E414" s="44">
        <v>115.717097</v>
      </c>
    </row>
    <row r="415" spans="1:5" x14ac:dyDescent="0.25">
      <c r="A415" s="3">
        <v>42917</v>
      </c>
      <c r="B415" s="2" t="s">
        <v>30</v>
      </c>
      <c r="C415" s="44">
        <v>36618.83</v>
      </c>
      <c r="D415" s="45">
        <v>375</v>
      </c>
      <c r="E415" s="44">
        <v>97.650212999999994</v>
      </c>
    </row>
    <row r="416" spans="1:5" x14ac:dyDescent="0.25">
      <c r="A416" s="3">
        <v>42917</v>
      </c>
      <c r="B416" s="2" t="s">
        <v>50</v>
      </c>
      <c r="C416" s="44">
        <v>6906.85</v>
      </c>
      <c r="D416" s="45">
        <v>77</v>
      </c>
      <c r="E416" s="44">
        <v>89.699350999999993</v>
      </c>
    </row>
    <row r="417" spans="1:5" x14ac:dyDescent="0.25">
      <c r="A417" s="3">
        <v>42917</v>
      </c>
      <c r="B417" s="2" t="s">
        <v>59</v>
      </c>
      <c r="C417" s="44">
        <v>198</v>
      </c>
      <c r="D417" s="45">
        <v>2</v>
      </c>
      <c r="E417" s="44">
        <v>99</v>
      </c>
    </row>
    <row r="418" spans="1:5" x14ac:dyDescent="0.25">
      <c r="A418" s="3">
        <v>42917</v>
      </c>
      <c r="B418" s="2" t="s">
        <v>31</v>
      </c>
      <c r="C418" s="44">
        <v>9052.8700000000008</v>
      </c>
      <c r="D418" s="45">
        <v>143</v>
      </c>
      <c r="E418" s="44">
        <v>63.306783000000003</v>
      </c>
    </row>
    <row r="419" spans="1:5" x14ac:dyDescent="0.25">
      <c r="A419" s="3">
        <v>42917</v>
      </c>
      <c r="B419" s="2" t="s">
        <v>32</v>
      </c>
      <c r="C419" s="44">
        <v>23956.84</v>
      </c>
      <c r="D419" s="45">
        <v>203</v>
      </c>
      <c r="E419" s="44">
        <v>118.01399000000001</v>
      </c>
    </row>
    <row r="420" spans="1:5" x14ac:dyDescent="0.25">
      <c r="A420" s="3">
        <v>42917</v>
      </c>
      <c r="B420" s="2" t="s">
        <v>33</v>
      </c>
      <c r="C420" s="44">
        <v>2967.86</v>
      </c>
      <c r="D420" s="45">
        <v>58</v>
      </c>
      <c r="E420" s="44">
        <v>51.17</v>
      </c>
    </row>
    <row r="421" spans="1:5" x14ac:dyDescent="0.25">
      <c r="A421" s="3">
        <v>42917</v>
      </c>
      <c r="B421" s="2" t="s">
        <v>34</v>
      </c>
      <c r="C421" s="44">
        <v>33702.42</v>
      </c>
      <c r="D421" s="45">
        <v>162</v>
      </c>
      <c r="E421" s="44">
        <v>208.03962999999999</v>
      </c>
    </row>
    <row r="422" spans="1:5" x14ac:dyDescent="0.25">
      <c r="A422" s="3">
        <v>42948</v>
      </c>
      <c r="B422" s="2" t="s">
        <v>35</v>
      </c>
      <c r="C422" s="44">
        <v>88</v>
      </c>
      <c r="D422" s="45">
        <v>4</v>
      </c>
      <c r="E422" s="44">
        <v>22</v>
      </c>
    </row>
    <row r="423" spans="1:5" x14ac:dyDescent="0.25">
      <c r="A423" s="3">
        <v>42948</v>
      </c>
      <c r="B423" s="2" t="s">
        <v>6</v>
      </c>
      <c r="C423" s="44">
        <v>4271.7299999999996</v>
      </c>
      <c r="D423" s="45">
        <v>15</v>
      </c>
      <c r="E423" s="44">
        <v>284.78199999999998</v>
      </c>
    </row>
    <row r="424" spans="1:5" x14ac:dyDescent="0.25">
      <c r="A424" s="3">
        <v>42948</v>
      </c>
      <c r="B424" s="2" t="s">
        <v>60</v>
      </c>
      <c r="C424" s="44">
        <v>244.7</v>
      </c>
      <c r="D424" s="45">
        <v>4</v>
      </c>
      <c r="E424" s="44">
        <v>61.174999999999997</v>
      </c>
    </row>
    <row r="425" spans="1:5" x14ac:dyDescent="0.25">
      <c r="A425" s="3">
        <v>42948</v>
      </c>
      <c r="B425" s="2" t="s">
        <v>7</v>
      </c>
      <c r="C425" s="44">
        <v>1050.7</v>
      </c>
      <c r="D425" s="45">
        <v>7</v>
      </c>
      <c r="E425" s="44">
        <v>150.1</v>
      </c>
    </row>
    <row r="426" spans="1:5" x14ac:dyDescent="0.25">
      <c r="A426" s="3">
        <v>42948</v>
      </c>
      <c r="B426" s="2" t="s">
        <v>8</v>
      </c>
      <c r="C426" s="44">
        <v>18922.61</v>
      </c>
      <c r="D426" s="45">
        <v>161</v>
      </c>
      <c r="E426" s="44">
        <v>117.531739</v>
      </c>
    </row>
    <row r="427" spans="1:5" x14ac:dyDescent="0.25">
      <c r="A427" s="3">
        <v>42948</v>
      </c>
      <c r="B427" s="2" t="s">
        <v>9</v>
      </c>
      <c r="C427" s="44">
        <v>19160.099999999999</v>
      </c>
      <c r="D427" s="45">
        <v>127</v>
      </c>
      <c r="E427" s="44">
        <v>150.866929</v>
      </c>
    </row>
    <row r="428" spans="1:5" x14ac:dyDescent="0.25">
      <c r="A428" s="3">
        <v>42948</v>
      </c>
      <c r="B428" s="2" t="s">
        <v>10</v>
      </c>
      <c r="C428" s="44">
        <v>56580.63</v>
      </c>
      <c r="D428" s="45">
        <v>506</v>
      </c>
      <c r="E428" s="44">
        <v>111.819427</v>
      </c>
    </row>
    <row r="429" spans="1:5" x14ac:dyDescent="0.25">
      <c r="A429" s="3">
        <v>42948</v>
      </c>
      <c r="B429" s="2" t="s">
        <v>36</v>
      </c>
      <c r="C429" s="44">
        <v>2275</v>
      </c>
      <c r="D429" s="45">
        <v>27</v>
      </c>
      <c r="E429" s="44">
        <v>84.259259</v>
      </c>
    </row>
    <row r="430" spans="1:5" x14ac:dyDescent="0.25">
      <c r="A430" s="3">
        <v>42948</v>
      </c>
      <c r="B430" s="2" t="s">
        <v>65</v>
      </c>
      <c r="C430" s="44">
        <v>61</v>
      </c>
      <c r="D430" s="45">
        <v>1</v>
      </c>
      <c r="E430" s="44">
        <v>61</v>
      </c>
    </row>
    <row r="431" spans="1:5" x14ac:dyDescent="0.25">
      <c r="A431" s="3">
        <v>42948</v>
      </c>
      <c r="B431" s="2" t="s">
        <v>51</v>
      </c>
      <c r="C431" s="44">
        <v>1196.3800000000001</v>
      </c>
      <c r="D431" s="45">
        <v>9</v>
      </c>
      <c r="E431" s="44">
        <v>132.93111099999999</v>
      </c>
    </row>
    <row r="432" spans="1:5" x14ac:dyDescent="0.25">
      <c r="A432" s="3">
        <v>42948</v>
      </c>
      <c r="B432" s="2" t="s">
        <v>74</v>
      </c>
      <c r="C432" s="44">
        <v>135</v>
      </c>
      <c r="D432" s="45">
        <v>3</v>
      </c>
      <c r="E432" s="44">
        <v>45</v>
      </c>
    </row>
    <row r="433" spans="1:5" x14ac:dyDescent="0.25">
      <c r="A433" s="3">
        <v>42948</v>
      </c>
      <c r="B433" s="2" t="s">
        <v>66</v>
      </c>
      <c r="C433" s="44">
        <v>58.9</v>
      </c>
      <c r="D433" s="45">
        <v>1</v>
      </c>
      <c r="E433" s="44">
        <v>58.9</v>
      </c>
    </row>
    <row r="434" spans="1:5" x14ac:dyDescent="0.25">
      <c r="A434" s="3">
        <v>42948</v>
      </c>
      <c r="B434" s="2" t="s">
        <v>37</v>
      </c>
      <c r="C434" s="44">
        <v>32400</v>
      </c>
      <c r="D434" s="45">
        <v>28</v>
      </c>
      <c r="E434" s="44">
        <v>1157.142857</v>
      </c>
    </row>
    <row r="435" spans="1:5" x14ac:dyDescent="0.25">
      <c r="A435" s="3">
        <v>42948</v>
      </c>
      <c r="B435" s="2" t="s">
        <v>11</v>
      </c>
      <c r="C435" s="44">
        <v>33826.47</v>
      </c>
      <c r="D435" s="45">
        <v>341</v>
      </c>
      <c r="E435" s="44">
        <v>99.197858999999994</v>
      </c>
    </row>
    <row r="436" spans="1:5" x14ac:dyDescent="0.25">
      <c r="A436" s="3">
        <v>42948</v>
      </c>
      <c r="B436" s="2" t="s">
        <v>12</v>
      </c>
      <c r="C436" s="44">
        <v>8054.75</v>
      </c>
      <c r="D436" s="45">
        <v>84</v>
      </c>
      <c r="E436" s="44">
        <v>95.889881000000003</v>
      </c>
    </row>
    <row r="437" spans="1:5" x14ac:dyDescent="0.25">
      <c r="A437" s="3">
        <v>42948</v>
      </c>
      <c r="B437" s="2" t="s">
        <v>53</v>
      </c>
      <c r="C437" s="44">
        <v>1180</v>
      </c>
      <c r="D437" s="45">
        <v>7</v>
      </c>
      <c r="E437" s="44">
        <v>168.57142899999999</v>
      </c>
    </row>
    <row r="438" spans="1:5" x14ac:dyDescent="0.25">
      <c r="A438" s="3">
        <v>42948</v>
      </c>
      <c r="B438" s="2" t="s">
        <v>75</v>
      </c>
      <c r="C438" s="44">
        <v>589</v>
      </c>
      <c r="D438" s="45">
        <v>2</v>
      </c>
      <c r="E438" s="44">
        <v>294.5</v>
      </c>
    </row>
    <row r="439" spans="1:5" x14ac:dyDescent="0.25">
      <c r="A439" s="3">
        <v>42948</v>
      </c>
      <c r="B439" s="2" t="s">
        <v>54</v>
      </c>
      <c r="C439" s="44">
        <v>8.9</v>
      </c>
      <c r="D439" s="45">
        <v>1</v>
      </c>
      <c r="E439" s="44">
        <v>8.9</v>
      </c>
    </row>
    <row r="440" spans="1:5" x14ac:dyDescent="0.25">
      <c r="A440" s="3">
        <v>42948</v>
      </c>
      <c r="B440" s="2" t="s">
        <v>13</v>
      </c>
      <c r="C440" s="44">
        <v>38264.51</v>
      </c>
      <c r="D440" s="45">
        <v>256</v>
      </c>
      <c r="E440" s="44">
        <v>149.470742</v>
      </c>
    </row>
    <row r="441" spans="1:5" x14ac:dyDescent="0.25">
      <c r="A441" s="3">
        <v>42948</v>
      </c>
      <c r="B441" s="2" t="s">
        <v>55</v>
      </c>
      <c r="C441" s="44">
        <v>1286.19</v>
      </c>
      <c r="D441" s="45">
        <v>10</v>
      </c>
      <c r="E441" s="44">
        <v>128.619</v>
      </c>
    </row>
    <row r="442" spans="1:5" x14ac:dyDescent="0.25">
      <c r="A442" s="3">
        <v>42948</v>
      </c>
      <c r="B442" s="2" t="s">
        <v>61</v>
      </c>
      <c r="C442" s="44">
        <v>119.9</v>
      </c>
      <c r="D442" s="45">
        <v>2</v>
      </c>
      <c r="E442" s="44">
        <v>59.95</v>
      </c>
    </row>
    <row r="443" spans="1:5" x14ac:dyDescent="0.25">
      <c r="A443" s="3">
        <v>42948</v>
      </c>
      <c r="B443" s="2" t="s">
        <v>38</v>
      </c>
      <c r="C443" s="44">
        <v>113.4</v>
      </c>
      <c r="D443" s="45">
        <v>6</v>
      </c>
      <c r="E443" s="44">
        <v>18.899999999999999</v>
      </c>
    </row>
    <row r="444" spans="1:5" x14ac:dyDescent="0.25">
      <c r="A444" s="3">
        <v>42948</v>
      </c>
      <c r="B444" s="2" t="s">
        <v>15</v>
      </c>
      <c r="C444" s="44">
        <v>2854.15</v>
      </c>
      <c r="D444" s="45">
        <v>56</v>
      </c>
      <c r="E444" s="44">
        <v>50.966963999999997</v>
      </c>
    </row>
    <row r="445" spans="1:5" x14ac:dyDescent="0.25">
      <c r="A445" s="3">
        <v>42948</v>
      </c>
      <c r="B445" s="2" t="s">
        <v>16</v>
      </c>
      <c r="C445" s="44">
        <v>188.7</v>
      </c>
      <c r="D445" s="45">
        <v>4</v>
      </c>
      <c r="E445" s="44">
        <v>47.174999999999997</v>
      </c>
    </row>
    <row r="446" spans="1:5" x14ac:dyDescent="0.25">
      <c r="A446" s="3">
        <v>42948</v>
      </c>
      <c r="B446" s="2" t="s">
        <v>17</v>
      </c>
      <c r="C446" s="44">
        <v>6438.89</v>
      </c>
      <c r="D446" s="45">
        <v>95</v>
      </c>
      <c r="E446" s="44">
        <v>67.777788999999999</v>
      </c>
    </row>
    <row r="447" spans="1:5" x14ac:dyDescent="0.25">
      <c r="A447" s="3">
        <v>42948</v>
      </c>
      <c r="B447" s="2" t="s">
        <v>18</v>
      </c>
      <c r="C447" s="44">
        <v>1175.06</v>
      </c>
      <c r="D447" s="45">
        <v>14</v>
      </c>
      <c r="E447" s="44">
        <v>83.932856999999998</v>
      </c>
    </row>
    <row r="448" spans="1:5" x14ac:dyDescent="0.25">
      <c r="A448" s="3">
        <v>42948</v>
      </c>
      <c r="B448" s="2" t="s">
        <v>19</v>
      </c>
      <c r="C448" s="44">
        <v>1491.69</v>
      </c>
      <c r="D448" s="45">
        <v>22</v>
      </c>
      <c r="E448" s="44">
        <v>67.804091</v>
      </c>
    </row>
    <row r="449" spans="1:5" x14ac:dyDescent="0.25">
      <c r="A449" s="3">
        <v>42948</v>
      </c>
      <c r="B449" s="2" t="s">
        <v>62</v>
      </c>
      <c r="C449" s="44">
        <v>265.8</v>
      </c>
      <c r="D449" s="45">
        <v>2</v>
      </c>
      <c r="E449" s="44">
        <v>132.9</v>
      </c>
    </row>
    <row r="450" spans="1:5" x14ac:dyDescent="0.25">
      <c r="A450" s="3">
        <v>42948</v>
      </c>
      <c r="B450" s="2" t="s">
        <v>39</v>
      </c>
      <c r="C450" s="44">
        <v>1111</v>
      </c>
      <c r="D450" s="45">
        <v>13</v>
      </c>
      <c r="E450" s="44">
        <v>85.461538000000004</v>
      </c>
    </row>
    <row r="451" spans="1:5" x14ac:dyDescent="0.25">
      <c r="A451" s="3">
        <v>42948</v>
      </c>
      <c r="B451" s="2" t="s">
        <v>20</v>
      </c>
      <c r="C451" s="44">
        <v>3343.54</v>
      </c>
      <c r="D451" s="45">
        <v>20</v>
      </c>
      <c r="E451" s="44">
        <v>167.17699999999999</v>
      </c>
    </row>
    <row r="452" spans="1:5" x14ac:dyDescent="0.25">
      <c r="A452" s="3">
        <v>42948</v>
      </c>
      <c r="B452" s="2" t="s">
        <v>21</v>
      </c>
      <c r="C452" s="44">
        <v>364.5</v>
      </c>
      <c r="D452" s="45">
        <v>8</v>
      </c>
      <c r="E452" s="44">
        <v>45.5625</v>
      </c>
    </row>
    <row r="453" spans="1:5" x14ac:dyDescent="0.25">
      <c r="A453" s="3">
        <v>42948</v>
      </c>
      <c r="B453" s="2" t="s">
        <v>63</v>
      </c>
      <c r="C453" s="44">
        <v>494.81</v>
      </c>
      <c r="D453" s="45">
        <v>15</v>
      </c>
      <c r="E453" s="44">
        <v>32.987333</v>
      </c>
    </row>
    <row r="454" spans="1:5" x14ac:dyDescent="0.25">
      <c r="A454" s="3">
        <v>42948</v>
      </c>
      <c r="B454" s="2" t="s">
        <v>40</v>
      </c>
      <c r="C454" s="44">
        <v>618</v>
      </c>
      <c r="D454" s="45">
        <v>3</v>
      </c>
      <c r="E454" s="44">
        <v>206</v>
      </c>
    </row>
    <row r="455" spans="1:5" x14ac:dyDescent="0.25">
      <c r="A455" s="3">
        <v>42948</v>
      </c>
      <c r="B455" s="2" t="s">
        <v>22</v>
      </c>
      <c r="C455" s="44">
        <v>33595.89</v>
      </c>
      <c r="D455" s="45">
        <v>426</v>
      </c>
      <c r="E455" s="44">
        <v>78.863591999999997</v>
      </c>
    </row>
    <row r="456" spans="1:5" x14ac:dyDescent="0.25">
      <c r="A456" s="3">
        <v>42948</v>
      </c>
      <c r="B456" s="2" t="s">
        <v>41</v>
      </c>
      <c r="C456" s="44">
        <v>2478.0700000000002</v>
      </c>
      <c r="D456" s="45">
        <v>23</v>
      </c>
      <c r="E456" s="44">
        <v>107.74217400000001</v>
      </c>
    </row>
    <row r="457" spans="1:5" x14ac:dyDescent="0.25">
      <c r="A457" s="3">
        <v>42948</v>
      </c>
      <c r="B457" s="2" t="s">
        <v>68</v>
      </c>
      <c r="C457" s="44">
        <v>509.39</v>
      </c>
      <c r="D457" s="45">
        <v>2</v>
      </c>
      <c r="E457" s="44">
        <v>254.69499999999999</v>
      </c>
    </row>
    <row r="458" spans="1:5" x14ac:dyDescent="0.25">
      <c r="A458" s="3">
        <v>42948</v>
      </c>
      <c r="B458" s="2" t="s">
        <v>23</v>
      </c>
      <c r="C458" s="44">
        <v>22920.93</v>
      </c>
      <c r="D458" s="45">
        <v>233</v>
      </c>
      <c r="E458" s="44">
        <v>98.373090000000005</v>
      </c>
    </row>
    <row r="459" spans="1:5" x14ac:dyDescent="0.25">
      <c r="A459" s="3">
        <v>42948</v>
      </c>
      <c r="B459" s="2" t="s">
        <v>5</v>
      </c>
      <c r="C459" s="44">
        <v>49030.23</v>
      </c>
      <c r="D459" s="45">
        <v>352</v>
      </c>
      <c r="E459" s="44">
        <v>139.290426</v>
      </c>
    </row>
    <row r="460" spans="1:5" x14ac:dyDescent="0.25">
      <c r="A460" s="3">
        <v>42948</v>
      </c>
      <c r="B460" s="2" t="s">
        <v>56</v>
      </c>
      <c r="C460" s="44">
        <v>3921.35</v>
      </c>
      <c r="D460" s="45">
        <v>42</v>
      </c>
      <c r="E460" s="44">
        <v>93.365476000000001</v>
      </c>
    </row>
    <row r="461" spans="1:5" x14ac:dyDescent="0.25">
      <c r="A461" s="3">
        <v>42948</v>
      </c>
      <c r="B461" s="2" t="s">
        <v>42</v>
      </c>
      <c r="C461" s="44">
        <v>3686.55</v>
      </c>
      <c r="D461" s="45">
        <v>15</v>
      </c>
      <c r="E461" s="44">
        <v>245.77</v>
      </c>
    </row>
    <row r="462" spans="1:5" x14ac:dyDescent="0.25">
      <c r="A462" s="3">
        <v>42948</v>
      </c>
      <c r="B462" s="2" t="s">
        <v>43</v>
      </c>
      <c r="C462" s="44">
        <v>38.700000000000003</v>
      </c>
      <c r="D462" s="45">
        <v>3</v>
      </c>
      <c r="E462" s="44">
        <v>12.9</v>
      </c>
    </row>
    <row r="463" spans="1:5" x14ac:dyDescent="0.25">
      <c r="A463" s="3">
        <v>42948</v>
      </c>
      <c r="B463" s="2" t="s">
        <v>57</v>
      </c>
      <c r="C463" s="44">
        <v>4000.19</v>
      </c>
      <c r="D463" s="45">
        <v>28</v>
      </c>
      <c r="E463" s="44">
        <v>142.86392900000001</v>
      </c>
    </row>
    <row r="464" spans="1:5" x14ac:dyDescent="0.25">
      <c r="A464" s="3">
        <v>42948</v>
      </c>
      <c r="B464" s="2" t="s">
        <v>58</v>
      </c>
      <c r="C464" s="44">
        <v>124.8</v>
      </c>
      <c r="D464" s="45">
        <v>1</v>
      </c>
      <c r="E464" s="44">
        <v>124.8</v>
      </c>
    </row>
    <row r="465" spans="1:5" x14ac:dyDescent="0.25">
      <c r="A465" s="3">
        <v>42948</v>
      </c>
      <c r="B465" s="2" t="s">
        <v>24</v>
      </c>
      <c r="C465" s="44">
        <v>23427.84</v>
      </c>
      <c r="D465" s="45">
        <v>280</v>
      </c>
      <c r="E465" s="44">
        <v>83.670856999999998</v>
      </c>
    </row>
    <row r="466" spans="1:5" x14ac:dyDescent="0.25">
      <c r="A466" s="3">
        <v>42948</v>
      </c>
      <c r="B466" s="2" t="s">
        <v>25</v>
      </c>
      <c r="C466" s="44">
        <v>956.9</v>
      </c>
      <c r="D466" s="45">
        <v>3</v>
      </c>
      <c r="E466" s="44">
        <v>318.96666699999997</v>
      </c>
    </row>
    <row r="467" spans="1:5" x14ac:dyDescent="0.25">
      <c r="A467" s="3">
        <v>42948</v>
      </c>
      <c r="B467" s="2" t="s">
        <v>44</v>
      </c>
      <c r="C467" s="44">
        <v>1006.2</v>
      </c>
      <c r="D467" s="45">
        <v>7</v>
      </c>
      <c r="E467" s="44">
        <v>143.74285699999999</v>
      </c>
    </row>
    <row r="468" spans="1:5" x14ac:dyDescent="0.25">
      <c r="A468" s="3">
        <v>42948</v>
      </c>
      <c r="B468" s="2" t="s">
        <v>69</v>
      </c>
      <c r="C468" s="44">
        <v>313</v>
      </c>
      <c r="D468" s="45">
        <v>2</v>
      </c>
      <c r="E468" s="44">
        <v>156.5</v>
      </c>
    </row>
    <row r="469" spans="1:5" x14ac:dyDescent="0.25">
      <c r="A469" s="3">
        <v>42948</v>
      </c>
      <c r="B469" s="2" t="s">
        <v>45</v>
      </c>
      <c r="C469" s="44">
        <v>6533.1</v>
      </c>
      <c r="D469" s="45">
        <v>62</v>
      </c>
      <c r="E469" s="44">
        <v>105.372581</v>
      </c>
    </row>
    <row r="470" spans="1:5" x14ac:dyDescent="0.25">
      <c r="A470" s="3">
        <v>42948</v>
      </c>
      <c r="B470" s="2" t="s">
        <v>26</v>
      </c>
      <c r="C470" s="44">
        <v>1937.39</v>
      </c>
      <c r="D470" s="45">
        <v>23</v>
      </c>
      <c r="E470" s="44">
        <v>84.234347999999997</v>
      </c>
    </row>
    <row r="471" spans="1:5" x14ac:dyDescent="0.25">
      <c r="A471" s="3">
        <v>42948</v>
      </c>
      <c r="B471" s="2" t="s">
        <v>47</v>
      </c>
      <c r="C471" s="44">
        <v>7089.55</v>
      </c>
      <c r="D471" s="45">
        <v>23</v>
      </c>
      <c r="E471" s="44">
        <v>308.24130400000001</v>
      </c>
    </row>
    <row r="472" spans="1:5" x14ac:dyDescent="0.25">
      <c r="A472" s="3">
        <v>42948</v>
      </c>
      <c r="B472" s="2" t="s">
        <v>27</v>
      </c>
      <c r="C472" s="44">
        <v>9877.36</v>
      </c>
      <c r="D472" s="45">
        <v>58</v>
      </c>
      <c r="E472" s="44">
        <v>170.29930999999999</v>
      </c>
    </row>
    <row r="473" spans="1:5" x14ac:dyDescent="0.25">
      <c r="A473" s="3">
        <v>42948</v>
      </c>
      <c r="B473" s="2" t="s">
        <v>28</v>
      </c>
      <c r="C473" s="44">
        <v>13085.1</v>
      </c>
      <c r="D473" s="45">
        <v>127</v>
      </c>
      <c r="E473" s="44">
        <v>103.03228300000001</v>
      </c>
    </row>
    <row r="474" spans="1:5" x14ac:dyDescent="0.25">
      <c r="A474" s="3">
        <v>42948</v>
      </c>
      <c r="B474" s="2" t="s">
        <v>29</v>
      </c>
      <c r="C474" s="44">
        <v>10425.790000000001</v>
      </c>
      <c r="D474" s="45">
        <v>89</v>
      </c>
      <c r="E474" s="44">
        <v>117.143708</v>
      </c>
    </row>
    <row r="475" spans="1:5" x14ac:dyDescent="0.25">
      <c r="A475" s="3">
        <v>42948</v>
      </c>
      <c r="B475" s="2" t="s">
        <v>64</v>
      </c>
      <c r="C475" s="44">
        <v>377.8</v>
      </c>
      <c r="D475" s="45">
        <v>4</v>
      </c>
      <c r="E475" s="44">
        <v>94.45</v>
      </c>
    </row>
    <row r="476" spans="1:5" x14ac:dyDescent="0.25">
      <c r="A476" s="3">
        <v>42948</v>
      </c>
      <c r="B476" s="2" t="s">
        <v>49</v>
      </c>
      <c r="C476" s="44">
        <v>4297.01</v>
      </c>
      <c r="D476" s="45">
        <v>36</v>
      </c>
      <c r="E476" s="44">
        <v>119.361389</v>
      </c>
    </row>
    <row r="477" spans="1:5" x14ac:dyDescent="0.25">
      <c r="A477" s="3">
        <v>42948</v>
      </c>
      <c r="B477" s="2" t="s">
        <v>73</v>
      </c>
      <c r="C477" s="44">
        <v>21.9</v>
      </c>
      <c r="D477" s="45">
        <v>1</v>
      </c>
      <c r="E477" s="44">
        <v>21.9</v>
      </c>
    </row>
    <row r="478" spans="1:5" x14ac:dyDescent="0.25">
      <c r="A478" s="3">
        <v>42948</v>
      </c>
      <c r="B478" s="2" t="s">
        <v>30</v>
      </c>
      <c r="C478" s="44">
        <v>40624.769999999997</v>
      </c>
      <c r="D478" s="45">
        <v>417</v>
      </c>
      <c r="E478" s="44">
        <v>97.421510999999995</v>
      </c>
    </row>
    <row r="479" spans="1:5" x14ac:dyDescent="0.25">
      <c r="A479" s="3">
        <v>42948</v>
      </c>
      <c r="B479" s="2" t="s">
        <v>50</v>
      </c>
      <c r="C479" s="44">
        <v>6366.91</v>
      </c>
      <c r="D479" s="45">
        <v>80</v>
      </c>
      <c r="E479" s="44">
        <v>79.586375000000004</v>
      </c>
    </row>
    <row r="480" spans="1:5" x14ac:dyDescent="0.25">
      <c r="A480" s="3">
        <v>42948</v>
      </c>
      <c r="B480" s="2" t="s">
        <v>59</v>
      </c>
      <c r="C480" s="44">
        <v>450.89</v>
      </c>
      <c r="D480" s="45">
        <v>6</v>
      </c>
      <c r="E480" s="44">
        <v>75.148332999999994</v>
      </c>
    </row>
    <row r="481" spans="1:5" x14ac:dyDescent="0.25">
      <c r="A481" s="3">
        <v>42948</v>
      </c>
      <c r="B481" s="2" t="s">
        <v>31</v>
      </c>
      <c r="C481" s="44">
        <v>10553.31</v>
      </c>
      <c r="D481" s="45">
        <v>132</v>
      </c>
      <c r="E481" s="44">
        <v>79.949318000000005</v>
      </c>
    </row>
    <row r="482" spans="1:5" x14ac:dyDescent="0.25">
      <c r="A482" s="3">
        <v>42948</v>
      </c>
      <c r="B482" s="2" t="s">
        <v>32</v>
      </c>
      <c r="C482" s="44">
        <v>17675.37</v>
      </c>
      <c r="D482" s="45">
        <v>182</v>
      </c>
      <c r="E482" s="44">
        <v>97.117418000000001</v>
      </c>
    </row>
    <row r="483" spans="1:5" x14ac:dyDescent="0.25">
      <c r="A483" s="3">
        <v>42948</v>
      </c>
      <c r="B483" s="2" t="s">
        <v>33</v>
      </c>
      <c r="C483" s="44">
        <v>4968.45</v>
      </c>
      <c r="D483" s="45">
        <v>75</v>
      </c>
      <c r="E483" s="44">
        <v>66.245999999999995</v>
      </c>
    </row>
    <row r="484" spans="1:5" x14ac:dyDescent="0.25">
      <c r="A484" s="3">
        <v>42948</v>
      </c>
      <c r="B484" s="2" t="s">
        <v>34</v>
      </c>
      <c r="C484" s="44">
        <v>36170.949999999997</v>
      </c>
      <c r="D484" s="45">
        <v>211</v>
      </c>
      <c r="E484" s="44">
        <v>171.42630299999999</v>
      </c>
    </row>
    <row r="485" spans="1:5" x14ac:dyDescent="0.25">
      <c r="A485" s="3">
        <v>42979</v>
      </c>
      <c r="B485" s="2" t="s">
        <v>35</v>
      </c>
      <c r="C485" s="44">
        <v>1993.99</v>
      </c>
      <c r="D485" s="45">
        <v>4</v>
      </c>
      <c r="E485" s="44">
        <v>498.4975</v>
      </c>
    </row>
    <row r="486" spans="1:5" x14ac:dyDescent="0.25">
      <c r="A486" s="3">
        <v>42979</v>
      </c>
      <c r="B486" s="2" t="s">
        <v>6</v>
      </c>
      <c r="C486" s="44">
        <v>1629.15</v>
      </c>
      <c r="D486" s="45">
        <v>7</v>
      </c>
      <c r="E486" s="44">
        <v>232.735714</v>
      </c>
    </row>
    <row r="487" spans="1:5" x14ac:dyDescent="0.25">
      <c r="A487" s="3">
        <v>42979</v>
      </c>
      <c r="B487" s="2" t="s">
        <v>60</v>
      </c>
      <c r="C487" s="44">
        <v>388.54</v>
      </c>
      <c r="D487" s="45">
        <v>3</v>
      </c>
      <c r="E487" s="44">
        <v>129.51333299999999</v>
      </c>
    </row>
    <row r="488" spans="1:5" x14ac:dyDescent="0.25">
      <c r="A488" s="3">
        <v>42979</v>
      </c>
      <c r="B488" s="2" t="s">
        <v>7</v>
      </c>
      <c r="C488" s="44">
        <v>1042.5899999999999</v>
      </c>
      <c r="D488" s="45">
        <v>10</v>
      </c>
      <c r="E488" s="44">
        <v>104.259</v>
      </c>
    </row>
    <row r="489" spans="1:5" x14ac:dyDescent="0.25">
      <c r="A489" s="3">
        <v>42979</v>
      </c>
      <c r="B489" s="2" t="s">
        <v>8</v>
      </c>
      <c r="C489" s="44">
        <v>14126.77</v>
      </c>
      <c r="D489" s="45">
        <v>107</v>
      </c>
      <c r="E489" s="44">
        <v>132.02588800000001</v>
      </c>
    </row>
    <row r="490" spans="1:5" x14ac:dyDescent="0.25">
      <c r="A490" s="3">
        <v>42979</v>
      </c>
      <c r="B490" s="2" t="s">
        <v>9</v>
      </c>
      <c r="C490" s="44">
        <v>23232.45</v>
      </c>
      <c r="D490" s="45">
        <v>170</v>
      </c>
      <c r="E490" s="44">
        <v>136.66147100000001</v>
      </c>
    </row>
    <row r="491" spans="1:5" x14ac:dyDescent="0.25">
      <c r="A491" s="3">
        <v>42979</v>
      </c>
      <c r="B491" s="2" t="s">
        <v>10</v>
      </c>
      <c r="C491" s="44">
        <v>52105.61</v>
      </c>
      <c r="D491" s="45">
        <v>528</v>
      </c>
      <c r="E491" s="44">
        <v>98.684866999999997</v>
      </c>
    </row>
    <row r="492" spans="1:5" x14ac:dyDescent="0.25">
      <c r="A492" s="3">
        <v>42979</v>
      </c>
      <c r="B492" s="2" t="s">
        <v>36</v>
      </c>
      <c r="C492" s="44">
        <v>932.24</v>
      </c>
      <c r="D492" s="45">
        <v>14</v>
      </c>
      <c r="E492" s="44">
        <v>66.588571000000002</v>
      </c>
    </row>
    <row r="493" spans="1:5" x14ac:dyDescent="0.25">
      <c r="A493" s="3">
        <v>42979</v>
      </c>
      <c r="B493" s="2" t="s">
        <v>65</v>
      </c>
      <c r="C493" s="44">
        <v>290</v>
      </c>
      <c r="D493" s="45">
        <v>4</v>
      </c>
      <c r="E493" s="44">
        <v>72.5</v>
      </c>
    </row>
    <row r="494" spans="1:5" x14ac:dyDescent="0.25">
      <c r="A494" s="3">
        <v>42979</v>
      </c>
      <c r="B494" s="2" t="s">
        <v>51</v>
      </c>
      <c r="C494" s="44">
        <v>1001.35</v>
      </c>
      <c r="D494" s="45">
        <v>8</v>
      </c>
      <c r="E494" s="44">
        <v>125.16875</v>
      </c>
    </row>
    <row r="495" spans="1:5" x14ac:dyDescent="0.25">
      <c r="A495" s="3">
        <v>42979</v>
      </c>
      <c r="B495" s="2" t="s">
        <v>66</v>
      </c>
      <c r="C495" s="44">
        <v>254.7</v>
      </c>
      <c r="D495" s="45">
        <v>4</v>
      </c>
      <c r="E495" s="44">
        <v>63.674999999999997</v>
      </c>
    </row>
    <row r="496" spans="1:5" x14ac:dyDescent="0.25">
      <c r="A496" s="3">
        <v>42979</v>
      </c>
      <c r="B496" s="2" t="s">
        <v>52</v>
      </c>
      <c r="C496" s="44">
        <v>69</v>
      </c>
      <c r="D496" s="45">
        <v>1</v>
      </c>
      <c r="E496" s="44">
        <v>69</v>
      </c>
    </row>
    <row r="497" spans="1:5" x14ac:dyDescent="0.25">
      <c r="A497" s="3">
        <v>42979</v>
      </c>
      <c r="B497" s="2" t="s">
        <v>37</v>
      </c>
      <c r="C497" s="44">
        <v>51228.89</v>
      </c>
      <c r="D497" s="45">
        <v>40</v>
      </c>
      <c r="E497" s="44">
        <v>1280.72225</v>
      </c>
    </row>
    <row r="498" spans="1:5" x14ac:dyDescent="0.25">
      <c r="A498" s="3">
        <v>42979</v>
      </c>
      <c r="B498" s="2" t="s">
        <v>11</v>
      </c>
      <c r="C498" s="44">
        <v>28040.65</v>
      </c>
      <c r="D498" s="45">
        <v>247</v>
      </c>
      <c r="E498" s="44">
        <v>113.524899</v>
      </c>
    </row>
    <row r="499" spans="1:5" x14ac:dyDescent="0.25">
      <c r="A499" s="3">
        <v>42979</v>
      </c>
      <c r="B499" s="2" t="s">
        <v>12</v>
      </c>
      <c r="C499" s="44">
        <v>8150.57</v>
      </c>
      <c r="D499" s="45">
        <v>63</v>
      </c>
      <c r="E499" s="44">
        <v>129.37412699999999</v>
      </c>
    </row>
    <row r="500" spans="1:5" x14ac:dyDescent="0.25">
      <c r="A500" s="3">
        <v>42979</v>
      </c>
      <c r="B500" s="2" t="s">
        <v>53</v>
      </c>
      <c r="C500" s="44">
        <v>1240.3</v>
      </c>
      <c r="D500" s="45">
        <v>10</v>
      </c>
      <c r="E500" s="44">
        <v>124.03</v>
      </c>
    </row>
    <row r="501" spans="1:5" x14ac:dyDescent="0.25">
      <c r="A501" s="3">
        <v>42979</v>
      </c>
      <c r="B501" s="2" t="s">
        <v>75</v>
      </c>
      <c r="C501" s="44">
        <v>229</v>
      </c>
      <c r="D501" s="45">
        <v>1</v>
      </c>
      <c r="E501" s="44">
        <v>229</v>
      </c>
    </row>
    <row r="502" spans="1:5" x14ac:dyDescent="0.25">
      <c r="A502" s="3">
        <v>42979</v>
      </c>
      <c r="B502" s="2" t="s">
        <v>54</v>
      </c>
      <c r="C502" s="44">
        <v>1124.54</v>
      </c>
      <c r="D502" s="45">
        <v>5</v>
      </c>
      <c r="E502" s="44">
        <v>224.90799999999999</v>
      </c>
    </row>
    <row r="503" spans="1:5" x14ac:dyDescent="0.25">
      <c r="A503" s="3">
        <v>42979</v>
      </c>
      <c r="B503" s="2" t="s">
        <v>13</v>
      </c>
      <c r="C503" s="44">
        <v>37547.47</v>
      </c>
      <c r="D503" s="45">
        <v>203</v>
      </c>
      <c r="E503" s="44">
        <v>184.962906</v>
      </c>
    </row>
    <row r="504" spans="1:5" x14ac:dyDescent="0.25">
      <c r="A504" s="3">
        <v>42979</v>
      </c>
      <c r="B504" s="2" t="s">
        <v>55</v>
      </c>
      <c r="C504" s="44">
        <v>251.6</v>
      </c>
      <c r="D504" s="45">
        <v>5</v>
      </c>
      <c r="E504" s="44">
        <v>50.32</v>
      </c>
    </row>
    <row r="505" spans="1:5" x14ac:dyDescent="0.25">
      <c r="A505" s="3">
        <v>42979</v>
      </c>
      <c r="B505" s="2" t="s">
        <v>67</v>
      </c>
      <c r="C505" s="44">
        <v>916.89</v>
      </c>
      <c r="D505" s="45">
        <v>3</v>
      </c>
      <c r="E505" s="44">
        <v>305.63</v>
      </c>
    </row>
    <row r="506" spans="1:5" x14ac:dyDescent="0.25">
      <c r="A506" s="3">
        <v>42979</v>
      </c>
      <c r="B506" s="2" t="s">
        <v>61</v>
      </c>
      <c r="C506" s="44">
        <v>244.98</v>
      </c>
      <c r="D506" s="45">
        <v>6</v>
      </c>
      <c r="E506" s="44">
        <v>40.83</v>
      </c>
    </row>
    <row r="507" spans="1:5" x14ac:dyDescent="0.25">
      <c r="A507" s="3">
        <v>42979</v>
      </c>
      <c r="B507" s="2" t="s">
        <v>38</v>
      </c>
      <c r="C507" s="44">
        <v>39.799999999999997</v>
      </c>
      <c r="D507" s="45">
        <v>2</v>
      </c>
      <c r="E507" s="44">
        <v>19.899999999999999</v>
      </c>
    </row>
    <row r="508" spans="1:5" x14ac:dyDescent="0.25">
      <c r="A508" s="3">
        <v>42979</v>
      </c>
      <c r="B508" s="2" t="s">
        <v>15</v>
      </c>
      <c r="C508" s="44">
        <v>4338.96</v>
      </c>
      <c r="D508" s="45">
        <v>67</v>
      </c>
      <c r="E508" s="44">
        <v>64.760597000000004</v>
      </c>
    </row>
    <row r="509" spans="1:5" x14ac:dyDescent="0.25">
      <c r="A509" s="3">
        <v>42979</v>
      </c>
      <c r="B509" s="2" t="s">
        <v>16</v>
      </c>
      <c r="C509" s="44">
        <v>355.7</v>
      </c>
      <c r="D509" s="45">
        <v>4</v>
      </c>
      <c r="E509" s="44">
        <v>88.924999999999997</v>
      </c>
    </row>
    <row r="510" spans="1:5" x14ac:dyDescent="0.25">
      <c r="A510" s="3">
        <v>42979</v>
      </c>
      <c r="B510" s="2" t="s">
        <v>17</v>
      </c>
      <c r="C510" s="44">
        <v>11778.24</v>
      </c>
      <c r="D510" s="45">
        <v>122</v>
      </c>
      <c r="E510" s="44">
        <v>96.542951000000002</v>
      </c>
    </row>
    <row r="511" spans="1:5" x14ac:dyDescent="0.25">
      <c r="A511" s="3">
        <v>42979</v>
      </c>
      <c r="B511" s="2" t="s">
        <v>72</v>
      </c>
      <c r="C511" s="44">
        <v>89.99</v>
      </c>
      <c r="D511" s="45">
        <v>1</v>
      </c>
      <c r="E511" s="44">
        <v>89.99</v>
      </c>
    </row>
    <row r="512" spans="1:5" x14ac:dyDescent="0.25">
      <c r="A512" s="3">
        <v>42979</v>
      </c>
      <c r="B512" s="2" t="s">
        <v>18</v>
      </c>
      <c r="C512" s="44">
        <v>1177.5</v>
      </c>
      <c r="D512" s="45">
        <v>16</v>
      </c>
      <c r="E512" s="44">
        <v>73.59375</v>
      </c>
    </row>
    <row r="513" spans="1:5" x14ac:dyDescent="0.25">
      <c r="A513" s="3">
        <v>42979</v>
      </c>
      <c r="B513" s="2" t="s">
        <v>19</v>
      </c>
      <c r="C513" s="44">
        <v>1099.7</v>
      </c>
      <c r="D513" s="45">
        <v>13</v>
      </c>
      <c r="E513" s="44">
        <v>84.592308000000003</v>
      </c>
    </row>
    <row r="514" spans="1:5" x14ac:dyDescent="0.25">
      <c r="A514" s="3">
        <v>42979</v>
      </c>
      <c r="B514" s="2" t="s">
        <v>62</v>
      </c>
      <c r="C514" s="44">
        <v>384.6</v>
      </c>
      <c r="D514" s="45">
        <v>5</v>
      </c>
      <c r="E514" s="44">
        <v>76.92</v>
      </c>
    </row>
    <row r="515" spans="1:5" x14ac:dyDescent="0.25">
      <c r="A515" s="3">
        <v>42979</v>
      </c>
      <c r="B515" s="2" t="s">
        <v>39</v>
      </c>
      <c r="C515" s="44">
        <v>1619.9</v>
      </c>
      <c r="D515" s="45">
        <v>16</v>
      </c>
      <c r="E515" s="44">
        <v>101.24375000000001</v>
      </c>
    </row>
    <row r="516" spans="1:5" x14ac:dyDescent="0.25">
      <c r="A516" s="3">
        <v>42979</v>
      </c>
      <c r="B516" s="2" t="s">
        <v>20</v>
      </c>
      <c r="C516" s="44">
        <v>13692.91</v>
      </c>
      <c r="D516" s="45">
        <v>13</v>
      </c>
      <c r="E516" s="44">
        <v>1053.3007689999999</v>
      </c>
    </row>
    <row r="517" spans="1:5" x14ac:dyDescent="0.25">
      <c r="A517" s="3">
        <v>42979</v>
      </c>
      <c r="B517" s="2" t="s">
        <v>21</v>
      </c>
      <c r="C517" s="44">
        <v>992.92</v>
      </c>
      <c r="D517" s="45">
        <v>17</v>
      </c>
      <c r="E517" s="44">
        <v>58.407058999999997</v>
      </c>
    </row>
    <row r="518" spans="1:5" x14ac:dyDescent="0.25">
      <c r="A518" s="3">
        <v>42979</v>
      </c>
      <c r="B518" s="2" t="s">
        <v>63</v>
      </c>
      <c r="C518" s="44">
        <v>310.86</v>
      </c>
      <c r="D518" s="45">
        <v>9</v>
      </c>
      <c r="E518" s="44">
        <v>34.54</v>
      </c>
    </row>
    <row r="519" spans="1:5" x14ac:dyDescent="0.25">
      <c r="A519" s="3">
        <v>42979</v>
      </c>
      <c r="B519" s="2" t="s">
        <v>40</v>
      </c>
      <c r="C519" s="44">
        <v>709.6</v>
      </c>
      <c r="D519" s="45">
        <v>4</v>
      </c>
      <c r="E519" s="44">
        <v>177.4</v>
      </c>
    </row>
    <row r="520" spans="1:5" x14ac:dyDescent="0.25">
      <c r="A520" s="3">
        <v>42979</v>
      </c>
      <c r="B520" s="2" t="s">
        <v>22</v>
      </c>
      <c r="C520" s="44">
        <v>30554.92</v>
      </c>
      <c r="D520" s="45">
        <v>343</v>
      </c>
      <c r="E520" s="44">
        <v>89.081399000000005</v>
      </c>
    </row>
    <row r="521" spans="1:5" x14ac:dyDescent="0.25">
      <c r="A521" s="3">
        <v>42979</v>
      </c>
      <c r="B521" s="2" t="s">
        <v>41</v>
      </c>
      <c r="C521" s="44">
        <v>1275.8699999999999</v>
      </c>
      <c r="D521" s="45">
        <v>11</v>
      </c>
      <c r="E521" s="44">
        <v>115.98818199999999</v>
      </c>
    </row>
    <row r="522" spans="1:5" x14ac:dyDescent="0.25">
      <c r="A522" s="3">
        <v>42979</v>
      </c>
      <c r="B522" s="2" t="s">
        <v>68</v>
      </c>
      <c r="C522" s="44">
        <v>86.5</v>
      </c>
      <c r="D522" s="45">
        <v>1</v>
      </c>
      <c r="E522" s="44">
        <v>86.5</v>
      </c>
    </row>
    <row r="523" spans="1:5" x14ac:dyDescent="0.25">
      <c r="A523" s="3">
        <v>42979</v>
      </c>
      <c r="B523" s="2" t="s">
        <v>23</v>
      </c>
      <c r="C523" s="44">
        <v>22028.43</v>
      </c>
      <c r="D523" s="45">
        <v>222</v>
      </c>
      <c r="E523" s="44">
        <v>99.227162000000007</v>
      </c>
    </row>
    <row r="524" spans="1:5" x14ac:dyDescent="0.25">
      <c r="A524" s="3">
        <v>42979</v>
      </c>
      <c r="B524" s="2" t="s">
        <v>5</v>
      </c>
      <c r="C524" s="44">
        <v>50649.16</v>
      </c>
      <c r="D524" s="45">
        <v>376</v>
      </c>
      <c r="E524" s="44">
        <v>134.70521299999999</v>
      </c>
    </row>
    <row r="525" spans="1:5" x14ac:dyDescent="0.25">
      <c r="A525" s="3">
        <v>42979</v>
      </c>
      <c r="B525" s="2" t="s">
        <v>56</v>
      </c>
      <c r="C525" s="44">
        <v>1820.19</v>
      </c>
      <c r="D525" s="45">
        <v>10</v>
      </c>
      <c r="E525" s="44">
        <v>182.01900000000001</v>
      </c>
    </row>
    <row r="526" spans="1:5" x14ac:dyDescent="0.25">
      <c r="A526" s="3">
        <v>42979</v>
      </c>
      <c r="B526" s="2" t="s">
        <v>42</v>
      </c>
      <c r="C526" s="44">
        <v>1627.8</v>
      </c>
      <c r="D526" s="45">
        <v>6</v>
      </c>
      <c r="E526" s="44">
        <v>271.3</v>
      </c>
    </row>
    <row r="527" spans="1:5" x14ac:dyDescent="0.25">
      <c r="A527" s="3">
        <v>42979</v>
      </c>
      <c r="B527" s="2" t="s">
        <v>43</v>
      </c>
      <c r="C527" s="44">
        <v>12.9</v>
      </c>
      <c r="D527" s="45">
        <v>1</v>
      </c>
      <c r="E527" s="44">
        <v>12.9</v>
      </c>
    </row>
    <row r="528" spans="1:5" x14ac:dyDescent="0.25">
      <c r="A528" s="3">
        <v>42979</v>
      </c>
      <c r="B528" s="2" t="s">
        <v>57</v>
      </c>
      <c r="C528" s="44">
        <v>4592.34</v>
      </c>
      <c r="D528" s="45">
        <v>33</v>
      </c>
      <c r="E528" s="44">
        <v>139.16181800000001</v>
      </c>
    </row>
    <row r="529" spans="1:5" x14ac:dyDescent="0.25">
      <c r="A529" s="3">
        <v>42979</v>
      </c>
      <c r="B529" s="2" t="s">
        <v>58</v>
      </c>
      <c r="C529" s="44">
        <v>1357.81</v>
      </c>
      <c r="D529" s="45">
        <v>11</v>
      </c>
      <c r="E529" s="44">
        <v>123.437273</v>
      </c>
    </row>
    <row r="530" spans="1:5" x14ac:dyDescent="0.25">
      <c r="A530" s="3">
        <v>42979</v>
      </c>
      <c r="B530" s="2" t="s">
        <v>24</v>
      </c>
      <c r="C530" s="44">
        <v>19941.560000000001</v>
      </c>
      <c r="D530" s="45">
        <v>249</v>
      </c>
      <c r="E530" s="44">
        <v>80.086585999999997</v>
      </c>
    </row>
    <row r="531" spans="1:5" x14ac:dyDescent="0.25">
      <c r="A531" s="3">
        <v>42979</v>
      </c>
      <c r="B531" s="2" t="s">
        <v>25</v>
      </c>
      <c r="C531" s="44">
        <v>219.98</v>
      </c>
      <c r="D531" s="45">
        <v>2</v>
      </c>
      <c r="E531" s="44">
        <v>109.99</v>
      </c>
    </row>
    <row r="532" spans="1:5" x14ac:dyDescent="0.25">
      <c r="A532" s="3">
        <v>42979</v>
      </c>
      <c r="B532" s="2" t="s">
        <v>44</v>
      </c>
      <c r="C532" s="44">
        <v>409.6</v>
      </c>
      <c r="D532" s="45">
        <v>4</v>
      </c>
      <c r="E532" s="44">
        <v>102.4</v>
      </c>
    </row>
    <row r="533" spans="1:5" x14ac:dyDescent="0.25">
      <c r="A533" s="3">
        <v>42979</v>
      </c>
      <c r="B533" s="2" t="s">
        <v>45</v>
      </c>
      <c r="C533" s="44">
        <v>3885.38</v>
      </c>
      <c r="D533" s="45">
        <v>42</v>
      </c>
      <c r="E533" s="44">
        <v>92.509048000000007</v>
      </c>
    </row>
    <row r="534" spans="1:5" x14ac:dyDescent="0.25">
      <c r="A534" s="3">
        <v>42979</v>
      </c>
      <c r="B534" s="2" t="s">
        <v>26</v>
      </c>
      <c r="C534" s="44">
        <v>1147.21</v>
      </c>
      <c r="D534" s="45">
        <v>11</v>
      </c>
      <c r="E534" s="44">
        <v>104.29181800000001</v>
      </c>
    </row>
    <row r="535" spans="1:5" x14ac:dyDescent="0.25">
      <c r="A535" s="3">
        <v>42979</v>
      </c>
      <c r="B535" s="2" t="s">
        <v>47</v>
      </c>
      <c r="C535" s="44">
        <v>8507.4</v>
      </c>
      <c r="D535" s="45">
        <v>26</v>
      </c>
      <c r="E535" s="44">
        <v>327.20769200000001</v>
      </c>
    </row>
    <row r="536" spans="1:5" x14ac:dyDescent="0.25">
      <c r="A536" s="3">
        <v>42979</v>
      </c>
      <c r="B536" s="2" t="s">
        <v>27</v>
      </c>
      <c r="C536" s="44">
        <v>9118.67</v>
      </c>
      <c r="D536" s="45">
        <v>60</v>
      </c>
      <c r="E536" s="44">
        <v>151.977833</v>
      </c>
    </row>
    <row r="537" spans="1:5" x14ac:dyDescent="0.25">
      <c r="A537" s="3">
        <v>42979</v>
      </c>
      <c r="B537" s="2" t="s">
        <v>76</v>
      </c>
      <c r="C537" s="44">
        <v>269.8</v>
      </c>
      <c r="D537" s="45">
        <v>2</v>
      </c>
      <c r="E537" s="44">
        <v>134.9</v>
      </c>
    </row>
    <row r="538" spans="1:5" x14ac:dyDescent="0.25">
      <c r="A538" s="3">
        <v>42979</v>
      </c>
      <c r="B538" s="2" t="s">
        <v>28</v>
      </c>
      <c r="C538" s="44">
        <v>14051.3</v>
      </c>
      <c r="D538" s="45">
        <v>153</v>
      </c>
      <c r="E538" s="44">
        <v>91.838561999999996</v>
      </c>
    </row>
    <row r="539" spans="1:5" x14ac:dyDescent="0.25">
      <c r="A539" s="3">
        <v>42979</v>
      </c>
      <c r="B539" s="2" t="s">
        <v>29</v>
      </c>
      <c r="C539" s="44">
        <v>8534.92</v>
      </c>
      <c r="D539" s="45">
        <v>71</v>
      </c>
      <c r="E539" s="44">
        <v>120.21014099999999</v>
      </c>
    </row>
    <row r="540" spans="1:5" x14ac:dyDescent="0.25">
      <c r="A540" s="3">
        <v>42979</v>
      </c>
      <c r="B540" s="2" t="s">
        <v>48</v>
      </c>
      <c r="C540" s="44">
        <v>100</v>
      </c>
      <c r="D540" s="45">
        <v>1</v>
      </c>
      <c r="E540" s="44">
        <v>100</v>
      </c>
    </row>
    <row r="541" spans="1:5" x14ac:dyDescent="0.25">
      <c r="A541" s="3">
        <v>42979</v>
      </c>
      <c r="B541" s="2" t="s">
        <v>64</v>
      </c>
      <c r="C541" s="44">
        <v>438.4</v>
      </c>
      <c r="D541" s="45">
        <v>9</v>
      </c>
      <c r="E541" s="44">
        <v>48.711111000000002</v>
      </c>
    </row>
    <row r="542" spans="1:5" x14ac:dyDescent="0.25">
      <c r="A542" s="3">
        <v>42979</v>
      </c>
      <c r="B542" s="2" t="s">
        <v>49</v>
      </c>
      <c r="C542" s="44">
        <v>10030.74</v>
      </c>
      <c r="D542" s="45">
        <v>30</v>
      </c>
      <c r="E542" s="44">
        <v>334.358</v>
      </c>
    </row>
    <row r="543" spans="1:5" x14ac:dyDescent="0.25">
      <c r="A543" s="3">
        <v>42979</v>
      </c>
      <c r="B543" s="2" t="s">
        <v>73</v>
      </c>
      <c r="C543" s="44">
        <v>640.99</v>
      </c>
      <c r="D543" s="45">
        <v>1</v>
      </c>
      <c r="E543" s="44">
        <v>640.99</v>
      </c>
    </row>
    <row r="544" spans="1:5" x14ac:dyDescent="0.25">
      <c r="A544" s="3">
        <v>42979</v>
      </c>
      <c r="B544" s="2" t="s">
        <v>30</v>
      </c>
      <c r="C544" s="44">
        <v>48972.11</v>
      </c>
      <c r="D544" s="45">
        <v>453</v>
      </c>
      <c r="E544" s="44">
        <v>108.10620299999999</v>
      </c>
    </row>
    <row r="545" spans="1:5" x14ac:dyDescent="0.25">
      <c r="A545" s="3">
        <v>42979</v>
      </c>
      <c r="B545" s="2" t="s">
        <v>50</v>
      </c>
      <c r="C545" s="44">
        <v>5851.52</v>
      </c>
      <c r="D545" s="45">
        <v>75</v>
      </c>
      <c r="E545" s="44">
        <v>78.020267000000004</v>
      </c>
    </row>
    <row r="546" spans="1:5" x14ac:dyDescent="0.25">
      <c r="A546" s="3">
        <v>42979</v>
      </c>
      <c r="B546" s="2" t="s">
        <v>59</v>
      </c>
      <c r="C546" s="44">
        <v>233.9</v>
      </c>
      <c r="D546" s="45">
        <v>3</v>
      </c>
      <c r="E546" s="44">
        <v>77.966667000000001</v>
      </c>
    </row>
    <row r="547" spans="1:5" x14ac:dyDescent="0.25">
      <c r="A547" s="3">
        <v>42979</v>
      </c>
      <c r="B547" s="2" t="s">
        <v>31</v>
      </c>
      <c r="C547" s="44">
        <v>18278.37</v>
      </c>
      <c r="D547" s="45">
        <v>173</v>
      </c>
      <c r="E547" s="44">
        <v>105.65531799999999</v>
      </c>
    </row>
    <row r="548" spans="1:5" x14ac:dyDescent="0.25">
      <c r="A548" s="3">
        <v>42979</v>
      </c>
      <c r="B548" s="2" t="s">
        <v>32</v>
      </c>
      <c r="C548" s="44">
        <v>29606.83</v>
      </c>
      <c r="D548" s="45">
        <v>289</v>
      </c>
      <c r="E548" s="44">
        <v>102.445779</v>
      </c>
    </row>
    <row r="549" spans="1:5" x14ac:dyDescent="0.25">
      <c r="A549" s="3">
        <v>42979</v>
      </c>
      <c r="B549" s="2" t="s">
        <v>33</v>
      </c>
      <c r="C549" s="44">
        <v>5774.15</v>
      </c>
      <c r="D549" s="45">
        <v>73</v>
      </c>
      <c r="E549" s="44">
        <v>79.097944999999996</v>
      </c>
    </row>
    <row r="550" spans="1:5" x14ac:dyDescent="0.25">
      <c r="A550" s="3">
        <v>42979</v>
      </c>
      <c r="B550" s="2" t="s">
        <v>34</v>
      </c>
      <c r="C550" s="44">
        <v>44748.959999999999</v>
      </c>
      <c r="D550" s="45">
        <v>264</v>
      </c>
      <c r="E550" s="44">
        <v>169.503636</v>
      </c>
    </row>
    <row r="551" spans="1:5" x14ac:dyDescent="0.25">
      <c r="A551" s="3">
        <v>43009</v>
      </c>
      <c r="B551" s="2" t="s">
        <v>35</v>
      </c>
      <c r="C551" s="44">
        <v>3350.28</v>
      </c>
      <c r="D551" s="45">
        <v>5</v>
      </c>
      <c r="E551" s="44">
        <v>670.05600000000004</v>
      </c>
    </row>
    <row r="552" spans="1:5" x14ac:dyDescent="0.25">
      <c r="A552" s="3">
        <v>43009</v>
      </c>
      <c r="B552" s="2" t="s">
        <v>6</v>
      </c>
      <c r="C552" s="44">
        <v>2562.42</v>
      </c>
      <c r="D552" s="45">
        <v>12</v>
      </c>
      <c r="E552" s="44">
        <v>213.535</v>
      </c>
    </row>
    <row r="553" spans="1:5" x14ac:dyDescent="0.25">
      <c r="A553" s="3">
        <v>43009</v>
      </c>
      <c r="B553" s="2" t="s">
        <v>60</v>
      </c>
      <c r="C553" s="44">
        <v>349.05</v>
      </c>
      <c r="D553" s="45">
        <v>3</v>
      </c>
      <c r="E553" s="44">
        <v>116.35</v>
      </c>
    </row>
    <row r="554" spans="1:5" x14ac:dyDescent="0.25">
      <c r="A554" s="3">
        <v>43009</v>
      </c>
      <c r="B554" s="2" t="s">
        <v>7</v>
      </c>
      <c r="C554" s="44">
        <v>2328.58</v>
      </c>
      <c r="D554" s="45">
        <v>31</v>
      </c>
      <c r="E554" s="44">
        <v>75.115483999999995</v>
      </c>
    </row>
    <row r="555" spans="1:5" x14ac:dyDescent="0.25">
      <c r="A555" s="3">
        <v>43009</v>
      </c>
      <c r="B555" s="2" t="s">
        <v>8</v>
      </c>
      <c r="C555" s="44">
        <v>21419.39</v>
      </c>
      <c r="D555" s="45">
        <v>148</v>
      </c>
      <c r="E555" s="44">
        <v>144.72560799999999</v>
      </c>
    </row>
    <row r="556" spans="1:5" x14ac:dyDescent="0.25">
      <c r="A556" s="3">
        <v>43009</v>
      </c>
      <c r="B556" s="2" t="s">
        <v>9</v>
      </c>
      <c r="C556" s="44">
        <v>16497.5</v>
      </c>
      <c r="D556" s="45">
        <v>138</v>
      </c>
      <c r="E556" s="44">
        <v>119.547101</v>
      </c>
    </row>
    <row r="557" spans="1:5" x14ac:dyDescent="0.25">
      <c r="A557" s="3">
        <v>43009</v>
      </c>
      <c r="B557" s="2" t="s">
        <v>10</v>
      </c>
      <c r="C557" s="44">
        <v>46007.7</v>
      </c>
      <c r="D557" s="45">
        <v>542</v>
      </c>
      <c r="E557" s="44">
        <v>84.885054999999994</v>
      </c>
    </row>
    <row r="558" spans="1:5" x14ac:dyDescent="0.25">
      <c r="A558" s="3">
        <v>43009</v>
      </c>
      <c r="B558" s="2" t="s">
        <v>36</v>
      </c>
      <c r="C558" s="44">
        <v>734.5</v>
      </c>
      <c r="D558" s="45">
        <v>11</v>
      </c>
      <c r="E558" s="44">
        <v>66.772727000000003</v>
      </c>
    </row>
    <row r="559" spans="1:5" x14ac:dyDescent="0.25">
      <c r="A559" s="3">
        <v>43009</v>
      </c>
      <c r="B559" s="2" t="s">
        <v>51</v>
      </c>
      <c r="C559" s="44">
        <v>880</v>
      </c>
      <c r="D559" s="45">
        <v>6</v>
      </c>
      <c r="E559" s="44">
        <v>146.66666699999999</v>
      </c>
    </row>
    <row r="560" spans="1:5" x14ac:dyDescent="0.25">
      <c r="A560" s="3">
        <v>43009</v>
      </c>
      <c r="B560" s="2" t="s">
        <v>74</v>
      </c>
      <c r="C560" s="44">
        <v>45</v>
      </c>
      <c r="D560" s="45">
        <v>1</v>
      </c>
      <c r="E560" s="44">
        <v>45</v>
      </c>
    </row>
    <row r="561" spans="1:5" x14ac:dyDescent="0.25">
      <c r="A561" s="3">
        <v>43009</v>
      </c>
      <c r="B561" s="2" t="s">
        <v>66</v>
      </c>
      <c r="C561" s="44">
        <v>388.05</v>
      </c>
      <c r="D561" s="45">
        <v>12</v>
      </c>
      <c r="E561" s="44">
        <v>32.337499999999999</v>
      </c>
    </row>
    <row r="562" spans="1:5" x14ac:dyDescent="0.25">
      <c r="A562" s="3">
        <v>43009</v>
      </c>
      <c r="B562" s="2" t="s">
        <v>52</v>
      </c>
      <c r="C562" s="44">
        <v>69</v>
      </c>
      <c r="D562" s="45">
        <v>1</v>
      </c>
      <c r="E562" s="44">
        <v>69</v>
      </c>
    </row>
    <row r="563" spans="1:5" x14ac:dyDescent="0.25">
      <c r="A563" s="3">
        <v>43009</v>
      </c>
      <c r="B563" s="2" t="s">
        <v>37</v>
      </c>
      <c r="C563" s="44">
        <v>40393.919999999998</v>
      </c>
      <c r="D563" s="45">
        <v>27</v>
      </c>
      <c r="E563" s="44">
        <v>1496.071111</v>
      </c>
    </row>
    <row r="564" spans="1:5" x14ac:dyDescent="0.25">
      <c r="A564" s="3">
        <v>43009</v>
      </c>
      <c r="B564" s="2" t="s">
        <v>11</v>
      </c>
      <c r="C564" s="44">
        <v>42009.38</v>
      </c>
      <c r="D564" s="45">
        <v>309</v>
      </c>
      <c r="E564" s="44">
        <v>135.952686</v>
      </c>
    </row>
    <row r="565" spans="1:5" x14ac:dyDescent="0.25">
      <c r="A565" s="3">
        <v>43009</v>
      </c>
      <c r="B565" s="2" t="s">
        <v>12</v>
      </c>
      <c r="C565" s="44">
        <v>10380.719999999999</v>
      </c>
      <c r="D565" s="45">
        <v>105</v>
      </c>
      <c r="E565" s="44">
        <v>98.864000000000004</v>
      </c>
    </row>
    <row r="566" spans="1:5" x14ac:dyDescent="0.25">
      <c r="A566" s="3">
        <v>43009</v>
      </c>
      <c r="B566" s="2" t="s">
        <v>53</v>
      </c>
      <c r="C566" s="44">
        <v>2576.1799999999998</v>
      </c>
      <c r="D566" s="45">
        <v>19</v>
      </c>
      <c r="E566" s="44">
        <v>135.58842100000001</v>
      </c>
    </row>
    <row r="567" spans="1:5" x14ac:dyDescent="0.25">
      <c r="A567" s="3">
        <v>43009</v>
      </c>
      <c r="B567" s="2" t="s">
        <v>75</v>
      </c>
      <c r="C567" s="44">
        <v>500</v>
      </c>
      <c r="D567" s="45">
        <v>2</v>
      </c>
      <c r="E567" s="44">
        <v>250</v>
      </c>
    </row>
    <row r="568" spans="1:5" x14ac:dyDescent="0.25">
      <c r="A568" s="3">
        <v>43009</v>
      </c>
      <c r="B568" s="2" t="s">
        <v>54</v>
      </c>
      <c r="C568" s="44">
        <v>1668.85</v>
      </c>
      <c r="D568" s="45">
        <v>12</v>
      </c>
      <c r="E568" s="44">
        <v>139.07083299999999</v>
      </c>
    </row>
    <row r="569" spans="1:5" x14ac:dyDescent="0.25">
      <c r="A569" s="3">
        <v>43009</v>
      </c>
      <c r="B569" s="2" t="s">
        <v>13</v>
      </c>
      <c r="C569" s="44">
        <v>44348.23</v>
      </c>
      <c r="D569" s="45">
        <v>254</v>
      </c>
      <c r="E569" s="44">
        <v>174.59933100000001</v>
      </c>
    </row>
    <row r="570" spans="1:5" x14ac:dyDescent="0.25">
      <c r="A570" s="3">
        <v>43009</v>
      </c>
      <c r="B570" s="2" t="s">
        <v>55</v>
      </c>
      <c r="C570" s="44">
        <v>746.9</v>
      </c>
      <c r="D570" s="45">
        <v>9</v>
      </c>
      <c r="E570" s="44">
        <v>82.988889</v>
      </c>
    </row>
    <row r="571" spans="1:5" x14ac:dyDescent="0.25">
      <c r="A571" s="3">
        <v>43009</v>
      </c>
      <c r="B571" s="2" t="s">
        <v>67</v>
      </c>
      <c r="C571" s="44">
        <v>1018.6</v>
      </c>
      <c r="D571" s="45">
        <v>5</v>
      </c>
      <c r="E571" s="44">
        <v>203.72</v>
      </c>
    </row>
    <row r="572" spans="1:5" x14ac:dyDescent="0.25">
      <c r="A572" s="3">
        <v>43009</v>
      </c>
      <c r="B572" s="2" t="s">
        <v>61</v>
      </c>
      <c r="C572" s="44">
        <v>596.98</v>
      </c>
      <c r="D572" s="45">
        <v>12</v>
      </c>
      <c r="E572" s="44">
        <v>49.748333000000002</v>
      </c>
    </row>
    <row r="573" spans="1:5" x14ac:dyDescent="0.25">
      <c r="A573" s="3">
        <v>43009</v>
      </c>
      <c r="B573" s="2" t="s">
        <v>38</v>
      </c>
      <c r="C573" s="44">
        <v>174.6</v>
      </c>
      <c r="D573" s="45">
        <v>4</v>
      </c>
      <c r="E573" s="44">
        <v>43.65</v>
      </c>
    </row>
    <row r="574" spans="1:5" x14ac:dyDescent="0.25">
      <c r="A574" s="3">
        <v>43009</v>
      </c>
      <c r="B574" s="2" t="s">
        <v>15</v>
      </c>
      <c r="C574" s="44">
        <v>3376.35</v>
      </c>
      <c r="D574" s="45">
        <v>62</v>
      </c>
      <c r="E574" s="44">
        <v>54.457258000000003</v>
      </c>
    </row>
    <row r="575" spans="1:5" x14ac:dyDescent="0.25">
      <c r="A575" s="3">
        <v>43009</v>
      </c>
      <c r="B575" s="2" t="s">
        <v>17</v>
      </c>
      <c r="C575" s="44">
        <v>7584.66</v>
      </c>
      <c r="D575" s="45">
        <v>108</v>
      </c>
      <c r="E575" s="44">
        <v>70.228333000000006</v>
      </c>
    </row>
    <row r="576" spans="1:5" x14ac:dyDescent="0.25">
      <c r="A576" s="3">
        <v>43009</v>
      </c>
      <c r="B576" s="2" t="s">
        <v>72</v>
      </c>
      <c r="C576" s="44">
        <v>39.99</v>
      </c>
      <c r="D576" s="45">
        <v>1</v>
      </c>
      <c r="E576" s="44">
        <v>39.99</v>
      </c>
    </row>
    <row r="577" spans="1:5" x14ac:dyDescent="0.25">
      <c r="A577" s="3">
        <v>43009</v>
      </c>
      <c r="B577" s="2" t="s">
        <v>18</v>
      </c>
      <c r="C577" s="44">
        <v>971.9</v>
      </c>
      <c r="D577" s="45">
        <v>10</v>
      </c>
      <c r="E577" s="44">
        <v>97.19</v>
      </c>
    </row>
    <row r="578" spans="1:5" x14ac:dyDescent="0.25">
      <c r="A578" s="3">
        <v>43009</v>
      </c>
      <c r="B578" s="2" t="s">
        <v>19</v>
      </c>
      <c r="C578" s="44">
        <v>1860.92</v>
      </c>
      <c r="D578" s="45">
        <v>18</v>
      </c>
      <c r="E578" s="44">
        <v>103.384444</v>
      </c>
    </row>
    <row r="579" spans="1:5" x14ac:dyDescent="0.25">
      <c r="A579" s="3">
        <v>43009</v>
      </c>
      <c r="B579" s="2" t="s">
        <v>62</v>
      </c>
      <c r="C579" s="44">
        <v>59.9</v>
      </c>
      <c r="D579" s="45">
        <v>1</v>
      </c>
      <c r="E579" s="44">
        <v>59.9</v>
      </c>
    </row>
    <row r="580" spans="1:5" x14ac:dyDescent="0.25">
      <c r="A580" s="3">
        <v>43009</v>
      </c>
      <c r="B580" s="2" t="s">
        <v>39</v>
      </c>
      <c r="C580" s="44">
        <v>187.8</v>
      </c>
      <c r="D580" s="45">
        <v>3</v>
      </c>
      <c r="E580" s="44">
        <v>62.6</v>
      </c>
    </row>
    <row r="581" spans="1:5" x14ac:dyDescent="0.25">
      <c r="A581" s="3">
        <v>43009</v>
      </c>
      <c r="B581" s="2" t="s">
        <v>20</v>
      </c>
      <c r="C581" s="44">
        <v>3751.88</v>
      </c>
      <c r="D581" s="45">
        <v>7</v>
      </c>
      <c r="E581" s="44">
        <v>535.98285699999997</v>
      </c>
    </row>
    <row r="582" spans="1:5" x14ac:dyDescent="0.25">
      <c r="A582" s="3">
        <v>43009</v>
      </c>
      <c r="B582" s="2" t="s">
        <v>21</v>
      </c>
      <c r="C582" s="44">
        <v>806.06</v>
      </c>
      <c r="D582" s="45">
        <v>17</v>
      </c>
      <c r="E582" s="44">
        <v>47.415294000000003</v>
      </c>
    </row>
    <row r="583" spans="1:5" x14ac:dyDescent="0.25">
      <c r="A583" s="3">
        <v>43009</v>
      </c>
      <c r="B583" s="2" t="s">
        <v>63</v>
      </c>
      <c r="C583" s="44">
        <v>2297.23</v>
      </c>
      <c r="D583" s="45">
        <v>17</v>
      </c>
      <c r="E583" s="44">
        <v>135.13117600000001</v>
      </c>
    </row>
    <row r="584" spans="1:5" x14ac:dyDescent="0.25">
      <c r="A584" s="3">
        <v>43009</v>
      </c>
      <c r="B584" s="2" t="s">
        <v>40</v>
      </c>
      <c r="C584" s="44">
        <v>943.9</v>
      </c>
      <c r="D584" s="45">
        <v>3</v>
      </c>
      <c r="E584" s="44">
        <v>314.63333299999999</v>
      </c>
    </row>
    <row r="585" spans="1:5" x14ac:dyDescent="0.25">
      <c r="A585" s="3">
        <v>43009</v>
      </c>
      <c r="B585" s="2" t="s">
        <v>22</v>
      </c>
      <c r="C585" s="44">
        <v>30009.74</v>
      </c>
      <c r="D585" s="45">
        <v>375</v>
      </c>
      <c r="E585" s="44">
        <v>80.025972999999993</v>
      </c>
    </row>
    <row r="586" spans="1:5" x14ac:dyDescent="0.25">
      <c r="A586" s="3">
        <v>43009</v>
      </c>
      <c r="B586" s="2" t="s">
        <v>41</v>
      </c>
      <c r="C586" s="44">
        <v>1532.79</v>
      </c>
      <c r="D586" s="45">
        <v>19</v>
      </c>
      <c r="E586" s="44">
        <v>80.673158000000001</v>
      </c>
    </row>
    <row r="587" spans="1:5" x14ac:dyDescent="0.25">
      <c r="A587" s="3">
        <v>43009</v>
      </c>
      <c r="B587" s="2" t="s">
        <v>23</v>
      </c>
      <c r="C587" s="44">
        <v>25798.75</v>
      </c>
      <c r="D587" s="45">
        <v>280</v>
      </c>
      <c r="E587" s="44">
        <v>92.138392999999994</v>
      </c>
    </row>
    <row r="588" spans="1:5" x14ac:dyDescent="0.25">
      <c r="A588" s="3">
        <v>43009</v>
      </c>
      <c r="B588" s="2" t="s">
        <v>5</v>
      </c>
      <c r="C588" s="44">
        <v>40698.99</v>
      </c>
      <c r="D588" s="45">
        <v>350</v>
      </c>
      <c r="E588" s="44">
        <v>116.28282900000001</v>
      </c>
    </row>
    <row r="589" spans="1:5" x14ac:dyDescent="0.25">
      <c r="A589" s="3">
        <v>43009</v>
      </c>
      <c r="B589" s="2" t="s">
        <v>56</v>
      </c>
      <c r="C589" s="44">
        <v>1837.68</v>
      </c>
      <c r="D589" s="45">
        <v>7</v>
      </c>
      <c r="E589" s="44">
        <v>262.52571399999999</v>
      </c>
    </row>
    <row r="590" spans="1:5" x14ac:dyDescent="0.25">
      <c r="A590" s="3">
        <v>43009</v>
      </c>
      <c r="B590" s="2" t="s">
        <v>42</v>
      </c>
      <c r="C590" s="44">
        <v>2104.27</v>
      </c>
      <c r="D590" s="45">
        <v>9</v>
      </c>
      <c r="E590" s="44">
        <v>233.80777800000001</v>
      </c>
    </row>
    <row r="591" spans="1:5" x14ac:dyDescent="0.25">
      <c r="A591" s="3">
        <v>43009</v>
      </c>
      <c r="B591" s="2" t="s">
        <v>43</v>
      </c>
      <c r="C591" s="44">
        <v>64.5</v>
      </c>
      <c r="D591" s="45">
        <v>5</v>
      </c>
      <c r="E591" s="44">
        <v>12.9</v>
      </c>
    </row>
    <row r="592" spans="1:5" x14ac:dyDescent="0.25">
      <c r="A592" s="3">
        <v>43009</v>
      </c>
      <c r="B592" s="2" t="s">
        <v>57</v>
      </c>
      <c r="C592" s="44">
        <v>3619.8</v>
      </c>
      <c r="D592" s="45">
        <v>27</v>
      </c>
      <c r="E592" s="44">
        <v>134.066667</v>
      </c>
    </row>
    <row r="593" spans="1:5" x14ac:dyDescent="0.25">
      <c r="A593" s="3">
        <v>43009</v>
      </c>
      <c r="B593" s="2" t="s">
        <v>58</v>
      </c>
      <c r="C593" s="44">
        <v>4201.17</v>
      </c>
      <c r="D593" s="45">
        <v>18</v>
      </c>
      <c r="E593" s="44">
        <v>233.39833300000001</v>
      </c>
    </row>
    <row r="594" spans="1:5" x14ac:dyDescent="0.25">
      <c r="A594" s="3">
        <v>43009</v>
      </c>
      <c r="B594" s="2" t="s">
        <v>24</v>
      </c>
      <c r="C594" s="44">
        <v>15883.68</v>
      </c>
      <c r="D594" s="45">
        <v>229</v>
      </c>
      <c r="E594" s="44">
        <v>69.361047999999997</v>
      </c>
    </row>
    <row r="595" spans="1:5" x14ac:dyDescent="0.25">
      <c r="A595" s="3">
        <v>43009</v>
      </c>
      <c r="B595" s="2" t="s">
        <v>25</v>
      </c>
      <c r="C595" s="44">
        <v>2256.69</v>
      </c>
      <c r="D595" s="45">
        <v>5</v>
      </c>
      <c r="E595" s="44">
        <v>451.33800000000002</v>
      </c>
    </row>
    <row r="596" spans="1:5" x14ac:dyDescent="0.25">
      <c r="A596" s="3">
        <v>43009</v>
      </c>
      <c r="B596" s="2" t="s">
        <v>44</v>
      </c>
      <c r="C596" s="44">
        <v>3428.6</v>
      </c>
      <c r="D596" s="45">
        <v>16</v>
      </c>
      <c r="E596" s="44">
        <v>214.28749999999999</v>
      </c>
    </row>
    <row r="597" spans="1:5" x14ac:dyDescent="0.25">
      <c r="A597" s="3">
        <v>43009</v>
      </c>
      <c r="B597" s="2" t="s">
        <v>69</v>
      </c>
      <c r="C597" s="44">
        <v>137</v>
      </c>
      <c r="D597" s="45">
        <v>1</v>
      </c>
      <c r="E597" s="44">
        <v>137</v>
      </c>
    </row>
    <row r="598" spans="1:5" x14ac:dyDescent="0.25">
      <c r="A598" s="3">
        <v>43009</v>
      </c>
      <c r="B598" s="2" t="s">
        <v>45</v>
      </c>
      <c r="C598" s="44">
        <v>6240.34</v>
      </c>
      <c r="D598" s="45">
        <v>56</v>
      </c>
      <c r="E598" s="44">
        <v>111.43464299999999</v>
      </c>
    </row>
    <row r="599" spans="1:5" x14ac:dyDescent="0.25">
      <c r="A599" s="3">
        <v>43009</v>
      </c>
      <c r="B599" s="2" t="s">
        <v>26</v>
      </c>
      <c r="C599" s="44">
        <v>1019.54</v>
      </c>
      <c r="D599" s="45">
        <v>11</v>
      </c>
      <c r="E599" s="44">
        <v>92.685455000000005</v>
      </c>
    </row>
    <row r="600" spans="1:5" x14ac:dyDescent="0.25">
      <c r="A600" s="3">
        <v>43009</v>
      </c>
      <c r="B600" s="2" t="s">
        <v>46</v>
      </c>
      <c r="C600" s="44">
        <v>54.9</v>
      </c>
      <c r="D600" s="45">
        <v>1</v>
      </c>
      <c r="E600" s="44">
        <v>54.9</v>
      </c>
    </row>
    <row r="601" spans="1:5" x14ac:dyDescent="0.25">
      <c r="A601" s="3">
        <v>43009</v>
      </c>
      <c r="B601" s="2" t="s">
        <v>47</v>
      </c>
      <c r="C601" s="44">
        <v>6329.26</v>
      </c>
      <c r="D601" s="45">
        <v>19</v>
      </c>
      <c r="E601" s="44">
        <v>333.11894699999999</v>
      </c>
    </row>
    <row r="602" spans="1:5" x14ac:dyDescent="0.25">
      <c r="A602" s="3">
        <v>43009</v>
      </c>
      <c r="B602" s="2" t="s">
        <v>27</v>
      </c>
      <c r="C602" s="44">
        <v>17890.830000000002</v>
      </c>
      <c r="D602" s="45">
        <v>102</v>
      </c>
      <c r="E602" s="44">
        <v>175.400294</v>
      </c>
    </row>
    <row r="603" spans="1:5" x14ac:dyDescent="0.25">
      <c r="A603" s="3">
        <v>43009</v>
      </c>
      <c r="B603" s="2" t="s">
        <v>76</v>
      </c>
      <c r="C603" s="44">
        <v>137.80000000000001</v>
      </c>
      <c r="D603" s="45">
        <v>2</v>
      </c>
      <c r="E603" s="44">
        <v>68.900000000000006</v>
      </c>
    </row>
    <row r="604" spans="1:5" x14ac:dyDescent="0.25">
      <c r="A604" s="3">
        <v>43009</v>
      </c>
      <c r="B604" s="2" t="s">
        <v>28</v>
      </c>
      <c r="C604" s="44">
        <v>16877.82</v>
      </c>
      <c r="D604" s="45">
        <v>187</v>
      </c>
      <c r="E604" s="44">
        <v>90.255722000000006</v>
      </c>
    </row>
    <row r="605" spans="1:5" x14ac:dyDescent="0.25">
      <c r="A605" s="3">
        <v>43009</v>
      </c>
      <c r="B605" s="2" t="s">
        <v>29</v>
      </c>
      <c r="C605" s="44">
        <v>8243.58</v>
      </c>
      <c r="D605" s="45">
        <v>76</v>
      </c>
      <c r="E605" s="44">
        <v>108.468158</v>
      </c>
    </row>
    <row r="606" spans="1:5" x14ac:dyDescent="0.25">
      <c r="A606" s="3">
        <v>43009</v>
      </c>
      <c r="B606" s="2" t="s">
        <v>64</v>
      </c>
      <c r="C606" s="44">
        <v>744</v>
      </c>
      <c r="D606" s="45">
        <v>10</v>
      </c>
      <c r="E606" s="44">
        <v>74.400000000000006</v>
      </c>
    </row>
    <row r="607" spans="1:5" x14ac:dyDescent="0.25">
      <c r="A607" s="3">
        <v>43009</v>
      </c>
      <c r="B607" s="2" t="s">
        <v>49</v>
      </c>
      <c r="C607" s="44">
        <v>6464.85</v>
      </c>
      <c r="D607" s="45">
        <v>32</v>
      </c>
      <c r="E607" s="44">
        <v>202.02656300000001</v>
      </c>
    </row>
    <row r="608" spans="1:5" x14ac:dyDescent="0.25">
      <c r="A608" s="3">
        <v>43009</v>
      </c>
      <c r="B608" s="2" t="s">
        <v>30</v>
      </c>
      <c r="C608" s="44">
        <v>48568.98</v>
      </c>
      <c r="D608" s="45">
        <v>462</v>
      </c>
      <c r="E608" s="44">
        <v>105.127662</v>
      </c>
    </row>
    <row r="609" spans="1:5" x14ac:dyDescent="0.25">
      <c r="A609" s="3">
        <v>43009</v>
      </c>
      <c r="B609" s="2" t="s">
        <v>50</v>
      </c>
      <c r="C609" s="44">
        <v>7697.17</v>
      </c>
      <c r="D609" s="45">
        <v>96</v>
      </c>
      <c r="E609" s="44">
        <v>80.178854000000001</v>
      </c>
    </row>
    <row r="610" spans="1:5" x14ac:dyDescent="0.25">
      <c r="A610" s="3">
        <v>43009</v>
      </c>
      <c r="B610" s="2" t="s">
        <v>59</v>
      </c>
      <c r="C610" s="44">
        <v>99</v>
      </c>
      <c r="D610" s="45">
        <v>1</v>
      </c>
      <c r="E610" s="44">
        <v>99</v>
      </c>
    </row>
    <row r="611" spans="1:5" x14ac:dyDescent="0.25">
      <c r="A611" s="3">
        <v>43009</v>
      </c>
      <c r="B611" s="2" t="s">
        <v>31</v>
      </c>
      <c r="C611" s="44">
        <v>20859.18</v>
      </c>
      <c r="D611" s="45">
        <v>244</v>
      </c>
      <c r="E611" s="44">
        <v>85.488443000000004</v>
      </c>
    </row>
    <row r="612" spans="1:5" x14ac:dyDescent="0.25">
      <c r="A612" s="3">
        <v>43009</v>
      </c>
      <c r="B612" s="2" t="s">
        <v>32</v>
      </c>
      <c r="C612" s="44">
        <v>33324.42</v>
      </c>
      <c r="D612" s="45">
        <v>283</v>
      </c>
      <c r="E612" s="44">
        <v>117.75413399999999</v>
      </c>
    </row>
    <row r="613" spans="1:5" x14ac:dyDescent="0.25">
      <c r="A613" s="3">
        <v>43009</v>
      </c>
      <c r="B613" s="2" t="s">
        <v>33</v>
      </c>
      <c r="C613" s="44">
        <v>16321.27</v>
      </c>
      <c r="D613" s="45">
        <v>68</v>
      </c>
      <c r="E613" s="44">
        <v>240.018676</v>
      </c>
    </row>
    <row r="614" spans="1:5" x14ac:dyDescent="0.25">
      <c r="A614" s="3">
        <v>43009</v>
      </c>
      <c r="B614" s="2" t="s">
        <v>34</v>
      </c>
      <c r="C614" s="44">
        <v>64874.63</v>
      </c>
      <c r="D614" s="45">
        <v>308</v>
      </c>
      <c r="E614" s="44">
        <v>210.63191599999999</v>
      </c>
    </row>
    <row r="615" spans="1:5" x14ac:dyDescent="0.25">
      <c r="A615" s="3">
        <v>43040</v>
      </c>
      <c r="B615" s="2" t="s">
        <v>35</v>
      </c>
      <c r="C615" s="44">
        <v>13932.49</v>
      </c>
      <c r="D615" s="45">
        <v>19</v>
      </c>
      <c r="E615" s="44">
        <v>733.28894700000001</v>
      </c>
    </row>
    <row r="616" spans="1:5" x14ac:dyDescent="0.25">
      <c r="A616" s="3">
        <v>43040</v>
      </c>
      <c r="B616" s="2" t="s">
        <v>6</v>
      </c>
      <c r="C616" s="44">
        <v>4076.62</v>
      </c>
      <c r="D616" s="45">
        <v>19</v>
      </c>
      <c r="E616" s="44">
        <v>214.55894699999999</v>
      </c>
    </row>
    <row r="617" spans="1:5" x14ac:dyDescent="0.25">
      <c r="A617" s="3">
        <v>43040</v>
      </c>
      <c r="B617" s="2" t="s">
        <v>60</v>
      </c>
      <c r="C617" s="44">
        <v>75</v>
      </c>
      <c r="D617" s="45">
        <v>1</v>
      </c>
      <c r="E617" s="44">
        <v>75</v>
      </c>
    </row>
    <row r="618" spans="1:5" x14ac:dyDescent="0.25">
      <c r="A618" s="3">
        <v>43040</v>
      </c>
      <c r="B618" s="2" t="s">
        <v>7</v>
      </c>
      <c r="C618" s="44">
        <v>3677.23</v>
      </c>
      <c r="D618" s="45">
        <v>36</v>
      </c>
      <c r="E618" s="44">
        <v>102.145278</v>
      </c>
    </row>
    <row r="619" spans="1:5" x14ac:dyDescent="0.25">
      <c r="A619" s="3">
        <v>43040</v>
      </c>
      <c r="B619" s="2" t="s">
        <v>8</v>
      </c>
      <c r="C619" s="44">
        <v>34736.49</v>
      </c>
      <c r="D619" s="45">
        <v>260</v>
      </c>
      <c r="E619" s="44">
        <v>133.60188500000001</v>
      </c>
    </row>
    <row r="620" spans="1:5" x14ac:dyDescent="0.25">
      <c r="A620" s="3">
        <v>43040</v>
      </c>
      <c r="B620" s="2" t="s">
        <v>9</v>
      </c>
      <c r="C620" s="44">
        <v>21048.19</v>
      </c>
      <c r="D620" s="45">
        <v>197</v>
      </c>
      <c r="E620" s="44">
        <v>106.843604</v>
      </c>
    </row>
    <row r="621" spans="1:5" x14ac:dyDescent="0.25">
      <c r="A621" s="3">
        <v>43040</v>
      </c>
      <c r="B621" s="2" t="s">
        <v>10</v>
      </c>
      <c r="C621" s="44">
        <v>87957.63</v>
      </c>
      <c r="D621" s="45">
        <v>961</v>
      </c>
      <c r="E621" s="44">
        <v>91.527190000000004</v>
      </c>
    </row>
    <row r="622" spans="1:5" x14ac:dyDescent="0.25">
      <c r="A622" s="3">
        <v>43040</v>
      </c>
      <c r="B622" s="2" t="s">
        <v>36</v>
      </c>
      <c r="C622" s="44">
        <v>2630.97</v>
      </c>
      <c r="D622" s="45">
        <v>37</v>
      </c>
      <c r="E622" s="44">
        <v>71.107297000000003</v>
      </c>
    </row>
    <row r="623" spans="1:5" x14ac:dyDescent="0.25">
      <c r="A623" s="3">
        <v>43040</v>
      </c>
      <c r="B623" s="2" t="s">
        <v>65</v>
      </c>
      <c r="C623" s="44">
        <v>247</v>
      </c>
      <c r="D623" s="45">
        <v>3</v>
      </c>
      <c r="E623" s="44">
        <v>82.333332999999996</v>
      </c>
    </row>
    <row r="624" spans="1:5" x14ac:dyDescent="0.25">
      <c r="A624" s="3">
        <v>43040</v>
      </c>
      <c r="B624" s="2" t="s">
        <v>51</v>
      </c>
      <c r="C624" s="44">
        <v>768.9</v>
      </c>
      <c r="D624" s="45">
        <v>6</v>
      </c>
      <c r="E624" s="44">
        <v>128.15</v>
      </c>
    </row>
    <row r="625" spans="1:5" x14ac:dyDescent="0.25">
      <c r="A625" s="3">
        <v>43040</v>
      </c>
      <c r="B625" s="2" t="s">
        <v>74</v>
      </c>
      <c r="C625" s="44">
        <v>195</v>
      </c>
      <c r="D625" s="45">
        <v>3</v>
      </c>
      <c r="E625" s="44">
        <v>65</v>
      </c>
    </row>
    <row r="626" spans="1:5" x14ac:dyDescent="0.25">
      <c r="A626" s="3">
        <v>43040</v>
      </c>
      <c r="B626" s="2" t="s">
        <v>66</v>
      </c>
      <c r="C626" s="44">
        <v>1312.6</v>
      </c>
      <c r="D626" s="45">
        <v>22</v>
      </c>
      <c r="E626" s="44">
        <v>59.663635999999997</v>
      </c>
    </row>
    <row r="627" spans="1:5" x14ac:dyDescent="0.25">
      <c r="A627" s="3">
        <v>43040</v>
      </c>
      <c r="B627" s="2" t="s">
        <v>52</v>
      </c>
      <c r="C627" s="44">
        <v>242</v>
      </c>
      <c r="D627" s="45">
        <v>1</v>
      </c>
      <c r="E627" s="44">
        <v>242</v>
      </c>
    </row>
    <row r="628" spans="1:5" x14ac:dyDescent="0.25">
      <c r="A628" s="3">
        <v>43040</v>
      </c>
      <c r="B628" s="2" t="s">
        <v>37</v>
      </c>
      <c r="C628" s="44">
        <v>9768</v>
      </c>
      <c r="D628" s="45">
        <v>7</v>
      </c>
      <c r="E628" s="44">
        <v>1395.4285709999999</v>
      </c>
    </row>
    <row r="629" spans="1:5" x14ac:dyDescent="0.25">
      <c r="A629" s="3">
        <v>43040</v>
      </c>
      <c r="B629" s="2" t="s">
        <v>11</v>
      </c>
      <c r="C629" s="44">
        <v>69676.320000000007</v>
      </c>
      <c r="D629" s="45">
        <v>512</v>
      </c>
      <c r="E629" s="44">
        <v>136.08656300000001</v>
      </c>
    </row>
    <row r="630" spans="1:5" x14ac:dyDescent="0.25">
      <c r="A630" s="3">
        <v>43040</v>
      </c>
      <c r="B630" s="2" t="s">
        <v>12</v>
      </c>
      <c r="C630" s="44">
        <v>11772.28</v>
      </c>
      <c r="D630" s="45">
        <v>128</v>
      </c>
      <c r="E630" s="44">
        <v>91.970938000000004</v>
      </c>
    </row>
    <row r="631" spans="1:5" x14ac:dyDescent="0.25">
      <c r="A631" s="3">
        <v>43040</v>
      </c>
      <c r="B631" s="2" t="s">
        <v>53</v>
      </c>
      <c r="C631" s="44">
        <v>6993.56</v>
      </c>
      <c r="D631" s="45">
        <v>47</v>
      </c>
      <c r="E631" s="44">
        <v>148.799149</v>
      </c>
    </row>
    <row r="632" spans="1:5" x14ac:dyDescent="0.25">
      <c r="A632" s="3">
        <v>43040</v>
      </c>
      <c r="B632" s="2" t="s">
        <v>75</v>
      </c>
      <c r="C632" s="44">
        <v>2199.48</v>
      </c>
      <c r="D632" s="45">
        <v>10</v>
      </c>
      <c r="E632" s="44">
        <v>219.94800000000001</v>
      </c>
    </row>
    <row r="633" spans="1:5" x14ac:dyDescent="0.25">
      <c r="A633" s="3">
        <v>43040</v>
      </c>
      <c r="B633" s="2" t="s">
        <v>54</v>
      </c>
      <c r="C633" s="44">
        <v>3280.69</v>
      </c>
      <c r="D633" s="45">
        <v>14</v>
      </c>
      <c r="E633" s="44">
        <v>234.33500000000001</v>
      </c>
    </row>
    <row r="634" spans="1:5" x14ac:dyDescent="0.25">
      <c r="A634" s="3">
        <v>43040</v>
      </c>
      <c r="B634" s="2" t="s">
        <v>13</v>
      </c>
      <c r="C634" s="44">
        <v>55696.66</v>
      </c>
      <c r="D634" s="45">
        <v>297</v>
      </c>
      <c r="E634" s="44">
        <v>187.53084200000001</v>
      </c>
    </row>
    <row r="635" spans="1:5" x14ac:dyDescent="0.25">
      <c r="A635" s="3">
        <v>43040</v>
      </c>
      <c r="B635" s="2" t="s">
        <v>55</v>
      </c>
      <c r="C635" s="44">
        <v>1218.5</v>
      </c>
      <c r="D635" s="45">
        <v>17</v>
      </c>
      <c r="E635" s="44">
        <v>71.676471000000006</v>
      </c>
    </row>
    <row r="636" spans="1:5" x14ac:dyDescent="0.25">
      <c r="A636" s="3">
        <v>43040</v>
      </c>
      <c r="B636" s="2" t="s">
        <v>67</v>
      </c>
      <c r="C636" s="44">
        <v>269.5</v>
      </c>
      <c r="D636" s="45">
        <v>5</v>
      </c>
      <c r="E636" s="44">
        <v>53.9</v>
      </c>
    </row>
    <row r="637" spans="1:5" x14ac:dyDescent="0.25">
      <c r="A637" s="3">
        <v>43040</v>
      </c>
      <c r="B637" s="2" t="s">
        <v>61</v>
      </c>
      <c r="C637" s="44">
        <v>674.12</v>
      </c>
      <c r="D637" s="45">
        <v>18</v>
      </c>
      <c r="E637" s="44">
        <v>37.451110999999997</v>
      </c>
    </row>
    <row r="638" spans="1:5" x14ac:dyDescent="0.25">
      <c r="A638" s="3">
        <v>43040</v>
      </c>
      <c r="B638" s="2" t="s">
        <v>38</v>
      </c>
      <c r="C638" s="44">
        <v>79.790000000000006</v>
      </c>
      <c r="D638" s="45">
        <v>3</v>
      </c>
      <c r="E638" s="44">
        <v>26.596667</v>
      </c>
    </row>
    <row r="639" spans="1:5" x14ac:dyDescent="0.25">
      <c r="A639" s="3">
        <v>43040</v>
      </c>
      <c r="B639" s="2" t="s">
        <v>15</v>
      </c>
      <c r="C639" s="44">
        <v>9992.99</v>
      </c>
      <c r="D639" s="45">
        <v>182</v>
      </c>
      <c r="E639" s="44">
        <v>54.906537999999998</v>
      </c>
    </row>
    <row r="640" spans="1:5" x14ac:dyDescent="0.25">
      <c r="A640" s="3">
        <v>43040</v>
      </c>
      <c r="B640" s="2" t="s">
        <v>16</v>
      </c>
      <c r="C640" s="44">
        <v>59.98</v>
      </c>
      <c r="D640" s="45">
        <v>2</v>
      </c>
      <c r="E640" s="44">
        <v>29.99</v>
      </c>
    </row>
    <row r="641" spans="1:5" x14ac:dyDescent="0.25">
      <c r="A641" s="3">
        <v>43040</v>
      </c>
      <c r="B641" s="2" t="s">
        <v>17</v>
      </c>
      <c r="C641" s="44">
        <v>12849.33</v>
      </c>
      <c r="D641" s="45">
        <v>193</v>
      </c>
      <c r="E641" s="44">
        <v>66.576839000000007</v>
      </c>
    </row>
    <row r="642" spans="1:5" x14ac:dyDescent="0.25">
      <c r="A642" s="3">
        <v>43040</v>
      </c>
      <c r="B642" s="2" t="s">
        <v>18</v>
      </c>
      <c r="C642" s="44">
        <v>880.99</v>
      </c>
      <c r="D642" s="45">
        <v>11</v>
      </c>
      <c r="E642" s="44">
        <v>80.09</v>
      </c>
    </row>
    <row r="643" spans="1:5" x14ac:dyDescent="0.25">
      <c r="A643" s="3">
        <v>43040</v>
      </c>
      <c r="B643" s="2" t="s">
        <v>19</v>
      </c>
      <c r="C643" s="44">
        <v>1707.8</v>
      </c>
      <c r="D643" s="45">
        <v>19</v>
      </c>
      <c r="E643" s="44">
        <v>89.884210999999993</v>
      </c>
    </row>
    <row r="644" spans="1:5" x14ac:dyDescent="0.25">
      <c r="A644" s="3">
        <v>43040</v>
      </c>
      <c r="B644" s="2" t="s">
        <v>62</v>
      </c>
      <c r="C644" s="44">
        <v>59.9</v>
      </c>
      <c r="D644" s="45">
        <v>1</v>
      </c>
      <c r="E644" s="44">
        <v>59.9</v>
      </c>
    </row>
    <row r="645" spans="1:5" x14ac:dyDescent="0.25">
      <c r="A645" s="3">
        <v>43040</v>
      </c>
      <c r="B645" s="2" t="s">
        <v>39</v>
      </c>
      <c r="C645" s="44">
        <v>1221.5999999999999</v>
      </c>
      <c r="D645" s="45">
        <v>10</v>
      </c>
      <c r="E645" s="44">
        <v>122.16</v>
      </c>
    </row>
    <row r="646" spans="1:5" x14ac:dyDescent="0.25">
      <c r="A646" s="3">
        <v>43040</v>
      </c>
      <c r="B646" s="2" t="s">
        <v>20</v>
      </c>
      <c r="C646" s="44">
        <v>943.98</v>
      </c>
      <c r="D646" s="45">
        <v>5</v>
      </c>
      <c r="E646" s="44">
        <v>188.79599999999999</v>
      </c>
    </row>
    <row r="647" spans="1:5" x14ac:dyDescent="0.25">
      <c r="A647" s="3">
        <v>43040</v>
      </c>
      <c r="B647" s="2" t="s">
        <v>77</v>
      </c>
      <c r="C647" s="44">
        <v>187.8</v>
      </c>
      <c r="D647" s="45">
        <v>6</v>
      </c>
      <c r="E647" s="44">
        <v>31.3</v>
      </c>
    </row>
    <row r="648" spans="1:5" x14ac:dyDescent="0.25">
      <c r="A648" s="3">
        <v>43040</v>
      </c>
      <c r="B648" s="2" t="s">
        <v>21</v>
      </c>
      <c r="C648" s="44">
        <v>498.09</v>
      </c>
      <c r="D648" s="45">
        <v>14</v>
      </c>
      <c r="E648" s="44">
        <v>35.577857000000002</v>
      </c>
    </row>
    <row r="649" spans="1:5" x14ac:dyDescent="0.25">
      <c r="A649" s="3">
        <v>43040</v>
      </c>
      <c r="B649" s="2" t="s">
        <v>63</v>
      </c>
      <c r="C649" s="44">
        <v>2445.5700000000002</v>
      </c>
      <c r="D649" s="45">
        <v>33</v>
      </c>
      <c r="E649" s="44">
        <v>74.108181999999999</v>
      </c>
    </row>
    <row r="650" spans="1:5" x14ac:dyDescent="0.25">
      <c r="A650" s="3">
        <v>43040</v>
      </c>
      <c r="B650" s="2" t="s">
        <v>40</v>
      </c>
      <c r="C650" s="44">
        <v>873</v>
      </c>
      <c r="D650" s="45">
        <v>3</v>
      </c>
      <c r="E650" s="44">
        <v>291</v>
      </c>
    </row>
    <row r="651" spans="1:5" x14ac:dyDescent="0.25">
      <c r="A651" s="3">
        <v>43040</v>
      </c>
      <c r="B651" s="2" t="s">
        <v>22</v>
      </c>
      <c r="C651" s="44">
        <v>62091.27</v>
      </c>
      <c r="D651" s="45">
        <v>767</v>
      </c>
      <c r="E651" s="44">
        <v>80.953416000000004</v>
      </c>
    </row>
    <row r="652" spans="1:5" x14ac:dyDescent="0.25">
      <c r="A652" s="3">
        <v>43040</v>
      </c>
      <c r="B652" s="2" t="s">
        <v>41</v>
      </c>
      <c r="C652" s="44">
        <v>6212.95</v>
      </c>
      <c r="D652" s="45">
        <v>39</v>
      </c>
      <c r="E652" s="44">
        <v>159.30641</v>
      </c>
    </row>
    <row r="653" spans="1:5" x14ac:dyDescent="0.25">
      <c r="A653" s="3">
        <v>43040</v>
      </c>
      <c r="B653" s="2" t="s">
        <v>68</v>
      </c>
      <c r="C653" s="44">
        <v>334</v>
      </c>
      <c r="D653" s="45">
        <v>2</v>
      </c>
      <c r="E653" s="44">
        <v>167</v>
      </c>
    </row>
    <row r="654" spans="1:5" x14ac:dyDescent="0.25">
      <c r="A654" s="3">
        <v>43040</v>
      </c>
      <c r="B654" s="2" t="s">
        <v>23</v>
      </c>
      <c r="C654" s="44">
        <v>44275.18</v>
      </c>
      <c r="D654" s="45">
        <v>547</v>
      </c>
      <c r="E654" s="44">
        <v>80.941828000000001</v>
      </c>
    </row>
    <row r="655" spans="1:5" x14ac:dyDescent="0.25">
      <c r="A655" s="3">
        <v>43040</v>
      </c>
      <c r="B655" s="2" t="s">
        <v>5</v>
      </c>
      <c r="C655" s="44">
        <v>78274.399999999994</v>
      </c>
      <c r="D655" s="45">
        <v>573</v>
      </c>
      <c r="E655" s="44">
        <v>136.60453799999999</v>
      </c>
    </row>
    <row r="656" spans="1:5" x14ac:dyDescent="0.25">
      <c r="A656" s="3">
        <v>43040</v>
      </c>
      <c r="B656" s="2" t="s">
        <v>56</v>
      </c>
      <c r="C656" s="44">
        <v>4515.9399999999996</v>
      </c>
      <c r="D656" s="45">
        <v>25</v>
      </c>
      <c r="E656" s="44">
        <v>180.63759999999999</v>
      </c>
    </row>
    <row r="657" spans="1:5" x14ac:dyDescent="0.25">
      <c r="A657" s="3">
        <v>43040</v>
      </c>
      <c r="B657" s="2" t="s">
        <v>42</v>
      </c>
      <c r="C657" s="44">
        <v>4854.93</v>
      </c>
      <c r="D657" s="45">
        <v>13</v>
      </c>
      <c r="E657" s="44">
        <v>373.45615400000003</v>
      </c>
    </row>
    <row r="658" spans="1:5" x14ac:dyDescent="0.25">
      <c r="A658" s="3">
        <v>43040</v>
      </c>
      <c r="B658" s="2" t="s">
        <v>43</v>
      </c>
      <c r="C658" s="44">
        <v>38.700000000000003</v>
      </c>
      <c r="D658" s="45">
        <v>3</v>
      </c>
      <c r="E658" s="44">
        <v>12.9</v>
      </c>
    </row>
    <row r="659" spans="1:5" x14ac:dyDescent="0.25">
      <c r="A659" s="3">
        <v>43040</v>
      </c>
      <c r="B659" s="2" t="s">
        <v>57</v>
      </c>
      <c r="C659" s="44">
        <v>5355.39</v>
      </c>
      <c r="D659" s="45">
        <v>45</v>
      </c>
      <c r="E659" s="44">
        <v>119.008667</v>
      </c>
    </row>
    <row r="660" spans="1:5" x14ac:dyDescent="0.25">
      <c r="A660" s="3">
        <v>43040</v>
      </c>
      <c r="B660" s="2" t="s">
        <v>58</v>
      </c>
      <c r="C660" s="44">
        <v>4936.72</v>
      </c>
      <c r="D660" s="45">
        <v>38</v>
      </c>
      <c r="E660" s="44">
        <v>129.91368399999999</v>
      </c>
    </row>
    <row r="661" spans="1:5" x14ac:dyDescent="0.25">
      <c r="A661" s="3">
        <v>43040</v>
      </c>
      <c r="B661" s="2" t="s">
        <v>24</v>
      </c>
      <c r="C661" s="44">
        <v>33872.42</v>
      </c>
      <c r="D661" s="45">
        <v>412</v>
      </c>
      <c r="E661" s="44">
        <v>82.214612000000002</v>
      </c>
    </row>
    <row r="662" spans="1:5" x14ac:dyDescent="0.25">
      <c r="A662" s="3">
        <v>43040</v>
      </c>
      <c r="B662" s="2" t="s">
        <v>25</v>
      </c>
      <c r="C662" s="44">
        <v>1994.87</v>
      </c>
      <c r="D662" s="45">
        <v>6</v>
      </c>
      <c r="E662" s="44">
        <v>332.47833300000002</v>
      </c>
    </row>
    <row r="663" spans="1:5" x14ac:dyDescent="0.25">
      <c r="A663" s="3">
        <v>43040</v>
      </c>
      <c r="B663" s="2" t="s">
        <v>44</v>
      </c>
      <c r="C663" s="44">
        <v>5007.3900000000003</v>
      </c>
      <c r="D663" s="45">
        <v>33</v>
      </c>
      <c r="E663" s="44">
        <v>151.739091</v>
      </c>
    </row>
    <row r="664" spans="1:5" x14ac:dyDescent="0.25">
      <c r="A664" s="3">
        <v>43040</v>
      </c>
      <c r="B664" s="2" t="s">
        <v>69</v>
      </c>
      <c r="C664" s="44">
        <v>137</v>
      </c>
      <c r="D664" s="45">
        <v>1</v>
      </c>
      <c r="E664" s="44">
        <v>137</v>
      </c>
    </row>
    <row r="665" spans="1:5" x14ac:dyDescent="0.25">
      <c r="A665" s="3">
        <v>43040</v>
      </c>
      <c r="B665" s="2" t="s">
        <v>45</v>
      </c>
      <c r="C665" s="44">
        <v>8301.15</v>
      </c>
      <c r="D665" s="45">
        <v>70</v>
      </c>
      <c r="E665" s="44">
        <v>118.587857</v>
      </c>
    </row>
    <row r="666" spans="1:5" x14ac:dyDescent="0.25">
      <c r="A666" s="3">
        <v>43040</v>
      </c>
      <c r="B666" s="2" t="s">
        <v>26</v>
      </c>
      <c r="C666" s="44">
        <v>1355.98</v>
      </c>
      <c r="D666" s="45">
        <v>16</v>
      </c>
      <c r="E666" s="44">
        <v>84.748750000000001</v>
      </c>
    </row>
    <row r="667" spans="1:5" x14ac:dyDescent="0.25">
      <c r="A667" s="3">
        <v>43040</v>
      </c>
      <c r="B667" s="2" t="s">
        <v>47</v>
      </c>
      <c r="C667" s="44">
        <v>15776.89</v>
      </c>
      <c r="D667" s="45">
        <v>42</v>
      </c>
      <c r="E667" s="44">
        <v>375.64023800000001</v>
      </c>
    </row>
    <row r="668" spans="1:5" x14ac:dyDescent="0.25">
      <c r="A668" s="3">
        <v>43040</v>
      </c>
      <c r="B668" s="2" t="s">
        <v>27</v>
      </c>
      <c r="C668" s="44">
        <v>17919.2</v>
      </c>
      <c r="D668" s="45">
        <v>101</v>
      </c>
      <c r="E668" s="44">
        <v>177.417822</v>
      </c>
    </row>
    <row r="669" spans="1:5" x14ac:dyDescent="0.25">
      <c r="A669" s="3">
        <v>43040</v>
      </c>
      <c r="B669" s="2" t="s">
        <v>76</v>
      </c>
      <c r="C669" s="44">
        <v>850.7</v>
      </c>
      <c r="D669" s="45">
        <v>3</v>
      </c>
      <c r="E669" s="44">
        <v>283.566667</v>
      </c>
    </row>
    <row r="670" spans="1:5" x14ac:dyDescent="0.25">
      <c r="A670" s="3">
        <v>43040</v>
      </c>
      <c r="B670" s="2" t="s">
        <v>28</v>
      </c>
      <c r="C670" s="44">
        <v>31612.13</v>
      </c>
      <c r="D670" s="45">
        <v>304</v>
      </c>
      <c r="E670" s="44">
        <v>103.98727</v>
      </c>
    </row>
    <row r="671" spans="1:5" x14ac:dyDescent="0.25">
      <c r="A671" s="3">
        <v>43040</v>
      </c>
      <c r="B671" s="2" t="s">
        <v>29</v>
      </c>
      <c r="C671" s="44">
        <v>11167.79</v>
      </c>
      <c r="D671" s="45">
        <v>97</v>
      </c>
      <c r="E671" s="44">
        <v>115.131856</v>
      </c>
    </row>
    <row r="672" spans="1:5" x14ac:dyDescent="0.25">
      <c r="A672" s="3">
        <v>43040</v>
      </c>
      <c r="B672" s="2" t="s">
        <v>64</v>
      </c>
      <c r="C672" s="44">
        <v>596.79</v>
      </c>
      <c r="D672" s="45">
        <v>5</v>
      </c>
      <c r="E672" s="44">
        <v>119.358</v>
      </c>
    </row>
    <row r="673" spans="1:5" x14ac:dyDescent="0.25">
      <c r="A673" s="3">
        <v>43040</v>
      </c>
      <c r="B673" s="2" t="s">
        <v>49</v>
      </c>
      <c r="C673" s="44">
        <v>6782.92</v>
      </c>
      <c r="D673" s="45">
        <v>28</v>
      </c>
      <c r="E673" s="44">
        <v>242.24714299999999</v>
      </c>
    </row>
    <row r="674" spans="1:5" x14ac:dyDescent="0.25">
      <c r="A674" s="3">
        <v>43040</v>
      </c>
      <c r="B674" s="2" t="s">
        <v>30</v>
      </c>
      <c r="C674" s="44">
        <v>62686.239999999998</v>
      </c>
      <c r="D674" s="45">
        <v>597</v>
      </c>
      <c r="E674" s="44">
        <v>105.002077</v>
      </c>
    </row>
    <row r="675" spans="1:5" x14ac:dyDescent="0.25">
      <c r="A675" s="3">
        <v>43040</v>
      </c>
      <c r="B675" s="2" t="s">
        <v>50</v>
      </c>
      <c r="C675" s="44">
        <v>16406.189999999999</v>
      </c>
      <c r="D675" s="45">
        <v>163</v>
      </c>
      <c r="E675" s="44">
        <v>100.651472</v>
      </c>
    </row>
    <row r="676" spans="1:5" x14ac:dyDescent="0.25">
      <c r="A676" s="3">
        <v>43040</v>
      </c>
      <c r="B676" s="2" t="s">
        <v>59</v>
      </c>
      <c r="C676" s="44">
        <v>350.4</v>
      </c>
      <c r="D676" s="45">
        <v>6</v>
      </c>
      <c r="E676" s="44">
        <v>58.4</v>
      </c>
    </row>
    <row r="677" spans="1:5" x14ac:dyDescent="0.25">
      <c r="A677" s="3">
        <v>43040</v>
      </c>
      <c r="B677" s="2" t="s">
        <v>31</v>
      </c>
      <c r="C677" s="44">
        <v>26117.63</v>
      </c>
      <c r="D677" s="45">
        <v>371</v>
      </c>
      <c r="E677" s="44">
        <v>70.397925000000001</v>
      </c>
    </row>
    <row r="678" spans="1:5" x14ac:dyDescent="0.25">
      <c r="A678" s="3">
        <v>43040</v>
      </c>
      <c r="B678" s="2" t="s">
        <v>32</v>
      </c>
      <c r="C678" s="44">
        <v>62611.26</v>
      </c>
      <c r="D678" s="45">
        <v>485</v>
      </c>
      <c r="E678" s="44">
        <v>129.095381</v>
      </c>
    </row>
    <row r="679" spans="1:5" x14ac:dyDescent="0.25">
      <c r="A679" s="3">
        <v>43040</v>
      </c>
      <c r="B679" s="2" t="s">
        <v>33</v>
      </c>
      <c r="C679" s="44">
        <v>13786.55</v>
      </c>
      <c r="D679" s="45">
        <v>118</v>
      </c>
      <c r="E679" s="44">
        <v>116.83516899999999</v>
      </c>
    </row>
    <row r="680" spans="1:5" x14ac:dyDescent="0.25">
      <c r="A680" s="3">
        <v>43040</v>
      </c>
      <c r="B680" s="2" t="s">
        <v>34</v>
      </c>
      <c r="C680" s="44">
        <v>95292.34</v>
      </c>
      <c r="D680" s="45">
        <v>463</v>
      </c>
      <c r="E680" s="44">
        <v>205.814989</v>
      </c>
    </row>
    <row r="681" spans="1:5" x14ac:dyDescent="0.25">
      <c r="A681" s="3">
        <v>43070</v>
      </c>
      <c r="B681" s="2" t="s">
        <v>35</v>
      </c>
      <c r="C681" s="44">
        <v>5291.7</v>
      </c>
      <c r="D681" s="45">
        <v>11</v>
      </c>
      <c r="E681" s="44">
        <v>481.06363599999997</v>
      </c>
    </row>
    <row r="682" spans="1:5" x14ac:dyDescent="0.25">
      <c r="A682" s="3">
        <v>43070</v>
      </c>
      <c r="B682" s="2" t="s">
        <v>6</v>
      </c>
      <c r="C682" s="44">
        <v>668.8</v>
      </c>
      <c r="D682" s="45">
        <v>3</v>
      </c>
      <c r="E682" s="44">
        <v>222.933333</v>
      </c>
    </row>
    <row r="683" spans="1:5" x14ac:dyDescent="0.25">
      <c r="A683" s="3">
        <v>43070</v>
      </c>
      <c r="B683" s="2" t="s">
        <v>60</v>
      </c>
      <c r="C683" s="44">
        <v>115.25</v>
      </c>
      <c r="D683" s="45">
        <v>3</v>
      </c>
      <c r="E683" s="44">
        <v>38.416666999999997</v>
      </c>
    </row>
    <row r="684" spans="1:5" x14ac:dyDescent="0.25">
      <c r="A684" s="3">
        <v>43070</v>
      </c>
      <c r="B684" s="2" t="s">
        <v>7</v>
      </c>
      <c r="C684" s="44">
        <v>2686.93</v>
      </c>
      <c r="D684" s="45">
        <v>17</v>
      </c>
      <c r="E684" s="44">
        <v>158.05470600000001</v>
      </c>
    </row>
    <row r="685" spans="1:5" x14ac:dyDescent="0.25">
      <c r="A685" s="3">
        <v>43070</v>
      </c>
      <c r="B685" s="2" t="s">
        <v>8</v>
      </c>
      <c r="C685" s="44">
        <v>39019.96</v>
      </c>
      <c r="D685" s="45">
        <v>263</v>
      </c>
      <c r="E685" s="44">
        <v>148.364867</v>
      </c>
    </row>
    <row r="686" spans="1:5" x14ac:dyDescent="0.25">
      <c r="A686" s="3">
        <v>43070</v>
      </c>
      <c r="B686" s="2" t="s">
        <v>9</v>
      </c>
      <c r="C686" s="44">
        <v>19658.48</v>
      </c>
      <c r="D686" s="45">
        <v>139</v>
      </c>
      <c r="E686" s="44">
        <v>141.42791399999999</v>
      </c>
    </row>
    <row r="687" spans="1:5" x14ac:dyDescent="0.25">
      <c r="A687" s="3">
        <v>43070</v>
      </c>
      <c r="B687" s="2" t="s">
        <v>10</v>
      </c>
      <c r="C687" s="44">
        <v>50081.16</v>
      </c>
      <c r="D687" s="45">
        <v>546</v>
      </c>
      <c r="E687" s="44">
        <v>91.723736000000002</v>
      </c>
    </row>
    <row r="688" spans="1:5" x14ac:dyDescent="0.25">
      <c r="A688" s="3">
        <v>43070</v>
      </c>
      <c r="B688" s="2" t="s">
        <v>36</v>
      </c>
      <c r="C688" s="44">
        <v>2352.1999999999998</v>
      </c>
      <c r="D688" s="45">
        <v>41</v>
      </c>
      <c r="E688" s="44">
        <v>57.370731999999997</v>
      </c>
    </row>
    <row r="689" spans="1:5" x14ac:dyDescent="0.25">
      <c r="A689" s="3">
        <v>43070</v>
      </c>
      <c r="B689" s="2" t="s">
        <v>65</v>
      </c>
      <c r="C689" s="44">
        <v>231</v>
      </c>
      <c r="D689" s="45">
        <v>3</v>
      </c>
      <c r="E689" s="44">
        <v>77</v>
      </c>
    </row>
    <row r="690" spans="1:5" x14ac:dyDescent="0.25">
      <c r="A690" s="3">
        <v>43070</v>
      </c>
      <c r="B690" s="2" t="s">
        <v>51</v>
      </c>
      <c r="C690" s="44">
        <v>670.69</v>
      </c>
      <c r="D690" s="45">
        <v>4</v>
      </c>
      <c r="E690" s="44">
        <v>167.67250000000001</v>
      </c>
    </row>
    <row r="691" spans="1:5" x14ac:dyDescent="0.25">
      <c r="A691" s="3">
        <v>43070</v>
      </c>
      <c r="B691" s="2" t="s">
        <v>74</v>
      </c>
      <c r="C691" s="44">
        <v>65</v>
      </c>
      <c r="D691" s="45">
        <v>1</v>
      </c>
      <c r="E691" s="44">
        <v>65</v>
      </c>
    </row>
    <row r="692" spans="1:5" x14ac:dyDescent="0.25">
      <c r="A692" s="3">
        <v>43070</v>
      </c>
      <c r="B692" s="2" t="s">
        <v>66</v>
      </c>
      <c r="C692" s="44">
        <v>493.9</v>
      </c>
      <c r="D692" s="45">
        <v>16</v>
      </c>
      <c r="E692" s="44">
        <v>30.868749999999999</v>
      </c>
    </row>
    <row r="693" spans="1:5" x14ac:dyDescent="0.25">
      <c r="A693" s="3">
        <v>43070</v>
      </c>
      <c r="B693" s="2" t="s">
        <v>37</v>
      </c>
      <c r="C693" s="44">
        <v>16741</v>
      </c>
      <c r="D693" s="45">
        <v>23</v>
      </c>
      <c r="E693" s="44">
        <v>727.86956499999997</v>
      </c>
    </row>
    <row r="694" spans="1:5" x14ac:dyDescent="0.25">
      <c r="A694" s="3">
        <v>43070</v>
      </c>
      <c r="B694" s="2" t="s">
        <v>11</v>
      </c>
      <c r="C694" s="44">
        <v>37428.67</v>
      </c>
      <c r="D694" s="45">
        <v>284</v>
      </c>
      <c r="E694" s="44">
        <v>131.79109199999999</v>
      </c>
    </row>
    <row r="695" spans="1:5" x14ac:dyDescent="0.25">
      <c r="A695" s="3">
        <v>43070</v>
      </c>
      <c r="B695" s="2" t="s">
        <v>12</v>
      </c>
      <c r="C695" s="44">
        <v>8885.01</v>
      </c>
      <c r="D695" s="45">
        <v>92</v>
      </c>
      <c r="E695" s="44">
        <v>96.576195999999996</v>
      </c>
    </row>
    <row r="696" spans="1:5" x14ac:dyDescent="0.25">
      <c r="A696" s="3">
        <v>43070</v>
      </c>
      <c r="B696" s="2" t="s">
        <v>53</v>
      </c>
      <c r="C696" s="44">
        <v>5830.35</v>
      </c>
      <c r="D696" s="45">
        <v>27</v>
      </c>
      <c r="E696" s="44">
        <v>215.93888899999999</v>
      </c>
    </row>
    <row r="697" spans="1:5" x14ac:dyDescent="0.25">
      <c r="A697" s="3">
        <v>43070</v>
      </c>
      <c r="B697" s="2" t="s">
        <v>75</v>
      </c>
      <c r="C697" s="44">
        <v>176</v>
      </c>
      <c r="D697" s="45">
        <v>2</v>
      </c>
      <c r="E697" s="44">
        <v>88</v>
      </c>
    </row>
    <row r="698" spans="1:5" x14ac:dyDescent="0.25">
      <c r="A698" s="3">
        <v>43070</v>
      </c>
      <c r="B698" s="2" t="s">
        <v>54</v>
      </c>
      <c r="C698" s="44">
        <v>1384.92</v>
      </c>
      <c r="D698" s="45">
        <v>7</v>
      </c>
      <c r="E698" s="44">
        <v>197.84571399999999</v>
      </c>
    </row>
    <row r="699" spans="1:5" x14ac:dyDescent="0.25">
      <c r="A699" s="3">
        <v>43070</v>
      </c>
      <c r="B699" s="2" t="s">
        <v>13</v>
      </c>
      <c r="C699" s="44">
        <v>37515.57</v>
      </c>
      <c r="D699" s="45">
        <v>248</v>
      </c>
      <c r="E699" s="44">
        <v>151.27246</v>
      </c>
    </row>
    <row r="700" spans="1:5" x14ac:dyDescent="0.25">
      <c r="A700" s="3">
        <v>43070</v>
      </c>
      <c r="B700" s="2" t="s">
        <v>55</v>
      </c>
      <c r="C700" s="44">
        <v>928.9</v>
      </c>
      <c r="D700" s="45">
        <v>6</v>
      </c>
      <c r="E700" s="44">
        <v>154.816667</v>
      </c>
    </row>
    <row r="701" spans="1:5" x14ac:dyDescent="0.25">
      <c r="A701" s="3">
        <v>43070</v>
      </c>
      <c r="B701" s="2" t="s">
        <v>67</v>
      </c>
      <c r="C701" s="44">
        <v>349.4</v>
      </c>
      <c r="D701" s="45">
        <v>6</v>
      </c>
      <c r="E701" s="44">
        <v>58.233333000000002</v>
      </c>
    </row>
    <row r="702" spans="1:5" x14ac:dyDescent="0.25">
      <c r="A702" s="3">
        <v>43070</v>
      </c>
      <c r="B702" s="2" t="s">
        <v>14</v>
      </c>
      <c r="C702" s="44">
        <v>76</v>
      </c>
      <c r="D702" s="45">
        <v>2</v>
      </c>
      <c r="E702" s="44">
        <v>38</v>
      </c>
    </row>
    <row r="703" spans="1:5" x14ac:dyDescent="0.25">
      <c r="A703" s="3">
        <v>43070</v>
      </c>
      <c r="B703" s="2" t="s">
        <v>61</v>
      </c>
      <c r="C703" s="44">
        <v>2132.84</v>
      </c>
      <c r="D703" s="45">
        <v>34</v>
      </c>
      <c r="E703" s="44">
        <v>62.730587999999997</v>
      </c>
    </row>
    <row r="704" spans="1:5" x14ac:dyDescent="0.25">
      <c r="A704" s="3">
        <v>43070</v>
      </c>
      <c r="B704" s="2" t="s">
        <v>38</v>
      </c>
      <c r="C704" s="44">
        <v>119.9</v>
      </c>
      <c r="D704" s="45">
        <v>1</v>
      </c>
      <c r="E704" s="44">
        <v>119.9</v>
      </c>
    </row>
    <row r="705" spans="1:5" x14ac:dyDescent="0.25">
      <c r="A705" s="3">
        <v>43070</v>
      </c>
      <c r="B705" s="2" t="s">
        <v>15</v>
      </c>
      <c r="C705" s="44">
        <v>8518.61</v>
      </c>
      <c r="D705" s="45">
        <v>209</v>
      </c>
      <c r="E705" s="44">
        <v>40.758899999999997</v>
      </c>
    </row>
    <row r="706" spans="1:5" x14ac:dyDescent="0.25">
      <c r="A706" s="3">
        <v>43070</v>
      </c>
      <c r="B706" s="2" t="s">
        <v>17</v>
      </c>
      <c r="C706" s="44">
        <v>9999.76</v>
      </c>
      <c r="D706" s="45">
        <v>134</v>
      </c>
      <c r="E706" s="44">
        <v>74.625074999999995</v>
      </c>
    </row>
    <row r="707" spans="1:5" x14ac:dyDescent="0.25">
      <c r="A707" s="3">
        <v>43070</v>
      </c>
      <c r="B707" s="2" t="s">
        <v>18</v>
      </c>
      <c r="C707" s="44">
        <v>450.89</v>
      </c>
      <c r="D707" s="45">
        <v>4</v>
      </c>
      <c r="E707" s="44">
        <v>112.7225</v>
      </c>
    </row>
    <row r="708" spans="1:5" x14ac:dyDescent="0.25">
      <c r="A708" s="3">
        <v>43070</v>
      </c>
      <c r="B708" s="2" t="s">
        <v>19</v>
      </c>
      <c r="C708" s="44">
        <v>1099</v>
      </c>
      <c r="D708" s="45">
        <v>13</v>
      </c>
      <c r="E708" s="44">
        <v>84.538461999999996</v>
      </c>
    </row>
    <row r="709" spans="1:5" x14ac:dyDescent="0.25">
      <c r="A709" s="3">
        <v>43070</v>
      </c>
      <c r="B709" s="2" t="s">
        <v>62</v>
      </c>
      <c r="C709" s="44">
        <v>59.9</v>
      </c>
      <c r="D709" s="45">
        <v>1</v>
      </c>
      <c r="E709" s="44">
        <v>59.9</v>
      </c>
    </row>
    <row r="710" spans="1:5" x14ac:dyDescent="0.25">
      <c r="A710" s="3">
        <v>43070</v>
      </c>
      <c r="B710" s="2" t="s">
        <v>39</v>
      </c>
      <c r="C710" s="44">
        <v>1173.0999999999999</v>
      </c>
      <c r="D710" s="45">
        <v>13</v>
      </c>
      <c r="E710" s="44">
        <v>90.238461999999998</v>
      </c>
    </row>
    <row r="711" spans="1:5" x14ac:dyDescent="0.25">
      <c r="A711" s="3">
        <v>43070</v>
      </c>
      <c r="B711" s="2" t="s">
        <v>20</v>
      </c>
      <c r="C711" s="44">
        <v>998.77</v>
      </c>
      <c r="D711" s="45">
        <v>5</v>
      </c>
      <c r="E711" s="44">
        <v>199.75399999999999</v>
      </c>
    </row>
    <row r="712" spans="1:5" x14ac:dyDescent="0.25">
      <c r="A712" s="3">
        <v>43070</v>
      </c>
      <c r="B712" s="2" t="s">
        <v>77</v>
      </c>
      <c r="C712" s="44">
        <v>82.7</v>
      </c>
      <c r="D712" s="45">
        <v>2</v>
      </c>
      <c r="E712" s="44">
        <v>41.35</v>
      </c>
    </row>
    <row r="713" spans="1:5" x14ac:dyDescent="0.25">
      <c r="A713" s="3">
        <v>43070</v>
      </c>
      <c r="B713" s="2" t="s">
        <v>21</v>
      </c>
      <c r="C713" s="44">
        <v>939.34</v>
      </c>
      <c r="D713" s="45">
        <v>13</v>
      </c>
      <c r="E713" s="44">
        <v>72.256923</v>
      </c>
    </row>
    <row r="714" spans="1:5" x14ac:dyDescent="0.25">
      <c r="A714" s="3">
        <v>43070</v>
      </c>
      <c r="B714" s="2" t="s">
        <v>63</v>
      </c>
      <c r="C714" s="44">
        <v>1033.68</v>
      </c>
      <c r="D714" s="45">
        <v>21</v>
      </c>
      <c r="E714" s="44">
        <v>49.222856999999998</v>
      </c>
    </row>
    <row r="715" spans="1:5" x14ac:dyDescent="0.25">
      <c r="A715" s="3">
        <v>43070</v>
      </c>
      <c r="B715" s="2" t="s">
        <v>40</v>
      </c>
      <c r="C715" s="44">
        <v>185</v>
      </c>
      <c r="D715" s="45">
        <v>1</v>
      </c>
      <c r="E715" s="44">
        <v>185</v>
      </c>
    </row>
    <row r="716" spans="1:5" x14ac:dyDescent="0.25">
      <c r="A716" s="3">
        <v>43070</v>
      </c>
      <c r="B716" s="2" t="s">
        <v>22</v>
      </c>
      <c r="C716" s="44">
        <v>31073.09</v>
      </c>
      <c r="D716" s="45">
        <v>378</v>
      </c>
      <c r="E716" s="44">
        <v>82.203941999999998</v>
      </c>
    </row>
    <row r="717" spans="1:5" x14ac:dyDescent="0.25">
      <c r="A717" s="3">
        <v>43070</v>
      </c>
      <c r="B717" s="2" t="s">
        <v>41</v>
      </c>
      <c r="C717" s="44">
        <v>2316.0100000000002</v>
      </c>
      <c r="D717" s="45">
        <v>20</v>
      </c>
      <c r="E717" s="44">
        <v>115.8005</v>
      </c>
    </row>
    <row r="718" spans="1:5" x14ac:dyDescent="0.25">
      <c r="A718" s="3">
        <v>43070</v>
      </c>
      <c r="B718" s="2" t="s">
        <v>68</v>
      </c>
      <c r="C718" s="44">
        <v>803.7</v>
      </c>
      <c r="D718" s="45">
        <v>8</v>
      </c>
      <c r="E718" s="44">
        <v>100.46250000000001</v>
      </c>
    </row>
    <row r="719" spans="1:5" x14ac:dyDescent="0.25">
      <c r="A719" s="3">
        <v>43070</v>
      </c>
      <c r="B719" s="2" t="s">
        <v>23</v>
      </c>
      <c r="C719" s="44">
        <v>26795.69</v>
      </c>
      <c r="D719" s="45">
        <v>323</v>
      </c>
      <c r="E719" s="44">
        <v>82.958793</v>
      </c>
    </row>
    <row r="720" spans="1:5" x14ac:dyDescent="0.25">
      <c r="A720" s="3">
        <v>43070</v>
      </c>
      <c r="B720" s="2" t="s">
        <v>5</v>
      </c>
      <c r="C720" s="44">
        <v>60688.75</v>
      </c>
      <c r="D720" s="45">
        <v>460</v>
      </c>
      <c r="E720" s="44">
        <v>131.93206499999999</v>
      </c>
    </row>
    <row r="721" spans="1:5" x14ac:dyDescent="0.25">
      <c r="A721" s="3">
        <v>43070</v>
      </c>
      <c r="B721" s="2" t="s">
        <v>56</v>
      </c>
      <c r="C721" s="44">
        <v>1331</v>
      </c>
      <c r="D721" s="45">
        <v>16</v>
      </c>
      <c r="E721" s="44">
        <v>83.1875</v>
      </c>
    </row>
    <row r="722" spans="1:5" x14ac:dyDescent="0.25">
      <c r="A722" s="3">
        <v>43070</v>
      </c>
      <c r="B722" s="2" t="s">
        <v>42</v>
      </c>
      <c r="C722" s="44">
        <v>1990.16</v>
      </c>
      <c r="D722" s="45">
        <v>8</v>
      </c>
      <c r="E722" s="44">
        <v>248.77</v>
      </c>
    </row>
    <row r="723" spans="1:5" x14ac:dyDescent="0.25">
      <c r="A723" s="3">
        <v>43070</v>
      </c>
      <c r="B723" s="2" t="s">
        <v>57</v>
      </c>
      <c r="C723" s="44">
        <v>2257.8000000000002</v>
      </c>
      <c r="D723" s="45">
        <v>14</v>
      </c>
      <c r="E723" s="44">
        <v>161.27142900000001</v>
      </c>
    </row>
    <row r="724" spans="1:5" x14ac:dyDescent="0.25">
      <c r="A724" s="3">
        <v>43070</v>
      </c>
      <c r="B724" s="2" t="s">
        <v>58</v>
      </c>
      <c r="C724" s="44">
        <v>6525.3</v>
      </c>
      <c r="D724" s="45">
        <v>38</v>
      </c>
      <c r="E724" s="44">
        <v>171.71842100000001</v>
      </c>
    </row>
    <row r="725" spans="1:5" x14ac:dyDescent="0.25">
      <c r="A725" s="3">
        <v>43070</v>
      </c>
      <c r="B725" s="2" t="s">
        <v>24</v>
      </c>
      <c r="C725" s="44">
        <v>25285.96</v>
      </c>
      <c r="D725" s="45">
        <v>288</v>
      </c>
      <c r="E725" s="44">
        <v>87.798472000000004</v>
      </c>
    </row>
    <row r="726" spans="1:5" x14ac:dyDescent="0.25">
      <c r="A726" s="3">
        <v>43070</v>
      </c>
      <c r="B726" s="2" t="s">
        <v>25</v>
      </c>
      <c r="C726" s="44">
        <v>1828.5</v>
      </c>
      <c r="D726" s="45">
        <v>9</v>
      </c>
      <c r="E726" s="44">
        <v>203.16666699999999</v>
      </c>
    </row>
    <row r="727" spans="1:5" x14ac:dyDescent="0.25">
      <c r="A727" s="3">
        <v>43070</v>
      </c>
      <c r="B727" s="2" t="s">
        <v>44</v>
      </c>
      <c r="C727" s="44">
        <v>4277.3</v>
      </c>
      <c r="D727" s="45">
        <v>20</v>
      </c>
      <c r="E727" s="44">
        <v>213.86500000000001</v>
      </c>
    </row>
    <row r="728" spans="1:5" x14ac:dyDescent="0.25">
      <c r="A728" s="3">
        <v>43070</v>
      </c>
      <c r="B728" s="2" t="s">
        <v>45</v>
      </c>
      <c r="C728" s="44">
        <v>5969.21</v>
      </c>
      <c r="D728" s="45">
        <v>46</v>
      </c>
      <c r="E728" s="44">
        <v>129.765435</v>
      </c>
    </row>
    <row r="729" spans="1:5" x14ac:dyDescent="0.25">
      <c r="A729" s="3">
        <v>43070</v>
      </c>
      <c r="B729" s="2" t="s">
        <v>26</v>
      </c>
      <c r="C729" s="44">
        <v>703.25</v>
      </c>
      <c r="D729" s="45">
        <v>14</v>
      </c>
      <c r="E729" s="44">
        <v>50.232143000000001</v>
      </c>
    </row>
    <row r="730" spans="1:5" x14ac:dyDescent="0.25">
      <c r="A730" s="3">
        <v>43070</v>
      </c>
      <c r="B730" s="2" t="s">
        <v>47</v>
      </c>
      <c r="C730" s="44">
        <v>10823.5</v>
      </c>
      <c r="D730" s="45">
        <v>42</v>
      </c>
      <c r="E730" s="44">
        <v>257.702381</v>
      </c>
    </row>
    <row r="731" spans="1:5" x14ac:dyDescent="0.25">
      <c r="A731" s="3">
        <v>43070</v>
      </c>
      <c r="B731" s="2" t="s">
        <v>27</v>
      </c>
      <c r="C731" s="44">
        <v>6684.37</v>
      </c>
      <c r="D731" s="45">
        <v>48</v>
      </c>
      <c r="E731" s="44">
        <v>139.25770800000001</v>
      </c>
    </row>
    <row r="732" spans="1:5" x14ac:dyDescent="0.25">
      <c r="A732" s="3">
        <v>43070</v>
      </c>
      <c r="B732" s="2" t="s">
        <v>76</v>
      </c>
      <c r="C732" s="44">
        <v>515.20000000000005</v>
      </c>
      <c r="D732" s="45">
        <v>2</v>
      </c>
      <c r="E732" s="44">
        <v>257.60000000000002</v>
      </c>
    </row>
    <row r="733" spans="1:5" x14ac:dyDescent="0.25">
      <c r="A733" s="3">
        <v>43070</v>
      </c>
      <c r="B733" s="2" t="s">
        <v>28</v>
      </c>
      <c r="C733" s="44">
        <v>26448.94</v>
      </c>
      <c r="D733" s="45">
        <v>233</v>
      </c>
      <c r="E733" s="44">
        <v>113.514764</v>
      </c>
    </row>
    <row r="734" spans="1:5" x14ac:dyDescent="0.25">
      <c r="A734" s="3">
        <v>43070</v>
      </c>
      <c r="B734" s="2" t="s">
        <v>29</v>
      </c>
      <c r="C734" s="44">
        <v>7126.74</v>
      </c>
      <c r="D734" s="45">
        <v>72</v>
      </c>
      <c r="E734" s="44">
        <v>98.982500000000002</v>
      </c>
    </row>
    <row r="735" spans="1:5" x14ac:dyDescent="0.25">
      <c r="A735" s="3">
        <v>43070</v>
      </c>
      <c r="B735" s="2" t="s">
        <v>64</v>
      </c>
      <c r="C735" s="44">
        <v>770</v>
      </c>
      <c r="D735" s="45">
        <v>2</v>
      </c>
      <c r="E735" s="44">
        <v>385</v>
      </c>
    </row>
    <row r="736" spans="1:5" x14ac:dyDescent="0.25">
      <c r="A736" s="3">
        <v>43070</v>
      </c>
      <c r="B736" s="2" t="s">
        <v>49</v>
      </c>
      <c r="C736" s="44">
        <v>7539.77</v>
      </c>
      <c r="D736" s="45">
        <v>27</v>
      </c>
      <c r="E736" s="44">
        <v>279.250741</v>
      </c>
    </row>
    <row r="737" spans="1:5" x14ac:dyDescent="0.25">
      <c r="A737" s="3">
        <v>43070</v>
      </c>
      <c r="B737" s="2" t="s">
        <v>30</v>
      </c>
      <c r="C737" s="44">
        <v>58722.48</v>
      </c>
      <c r="D737" s="45">
        <v>484</v>
      </c>
      <c r="E737" s="44">
        <v>121.327438</v>
      </c>
    </row>
    <row r="738" spans="1:5" x14ac:dyDescent="0.25">
      <c r="A738" s="3">
        <v>43070</v>
      </c>
      <c r="B738" s="2" t="s">
        <v>50</v>
      </c>
      <c r="C738" s="44">
        <v>24793.1</v>
      </c>
      <c r="D738" s="45">
        <v>248</v>
      </c>
      <c r="E738" s="44">
        <v>99.972177000000002</v>
      </c>
    </row>
    <row r="739" spans="1:5" x14ac:dyDescent="0.25">
      <c r="A739" s="3">
        <v>43070</v>
      </c>
      <c r="B739" s="2" t="s">
        <v>59</v>
      </c>
      <c r="C739" s="44">
        <v>419.4</v>
      </c>
      <c r="D739" s="45">
        <v>6</v>
      </c>
      <c r="E739" s="44">
        <v>69.900000000000006</v>
      </c>
    </row>
    <row r="740" spans="1:5" x14ac:dyDescent="0.25">
      <c r="A740" s="3">
        <v>43070</v>
      </c>
      <c r="B740" s="2" t="s">
        <v>31</v>
      </c>
      <c r="C740" s="44">
        <v>12780.44</v>
      </c>
      <c r="D740" s="45">
        <v>260</v>
      </c>
      <c r="E740" s="44">
        <v>49.155538</v>
      </c>
    </row>
    <row r="741" spans="1:5" x14ac:dyDescent="0.25">
      <c r="A741" s="3">
        <v>43070</v>
      </c>
      <c r="B741" s="2" t="s">
        <v>32</v>
      </c>
      <c r="C741" s="44">
        <v>55064.56</v>
      </c>
      <c r="D741" s="45">
        <v>436</v>
      </c>
      <c r="E741" s="44">
        <v>126.29486199999999</v>
      </c>
    </row>
    <row r="742" spans="1:5" x14ac:dyDescent="0.25">
      <c r="A742" s="3">
        <v>43070</v>
      </c>
      <c r="B742" s="2" t="s">
        <v>33</v>
      </c>
      <c r="C742" s="44">
        <v>15497.67</v>
      </c>
      <c r="D742" s="45">
        <v>137</v>
      </c>
      <c r="E742" s="44">
        <v>113.121679</v>
      </c>
    </row>
    <row r="743" spans="1:5" x14ac:dyDescent="0.25">
      <c r="A743" s="3">
        <v>43070</v>
      </c>
      <c r="B743" s="2" t="s">
        <v>34</v>
      </c>
      <c r="C743" s="44">
        <v>69556.92</v>
      </c>
      <c r="D743" s="45">
        <v>353</v>
      </c>
      <c r="E743" s="44">
        <v>197.04509899999999</v>
      </c>
    </row>
    <row r="744" spans="1:5" x14ac:dyDescent="0.25">
      <c r="A744" s="3">
        <v>43101</v>
      </c>
      <c r="B744" s="2" t="s">
        <v>35</v>
      </c>
      <c r="C744" s="44">
        <v>5853.44</v>
      </c>
      <c r="D744" s="45">
        <v>18</v>
      </c>
      <c r="E744" s="44">
        <v>325.19111099999998</v>
      </c>
    </row>
    <row r="745" spans="1:5" x14ac:dyDescent="0.25">
      <c r="A745" s="3">
        <v>43101</v>
      </c>
      <c r="B745" s="2" t="s">
        <v>6</v>
      </c>
      <c r="C745" s="44">
        <v>4674.74</v>
      </c>
      <c r="D745" s="45">
        <v>29</v>
      </c>
      <c r="E745" s="44">
        <v>161.19793100000001</v>
      </c>
    </row>
    <row r="746" spans="1:5" x14ac:dyDescent="0.25">
      <c r="A746" s="3">
        <v>43101</v>
      </c>
      <c r="B746" s="2" t="s">
        <v>60</v>
      </c>
      <c r="C746" s="44">
        <v>2540.77</v>
      </c>
      <c r="D746" s="45">
        <v>19</v>
      </c>
      <c r="E746" s="44">
        <v>133.724737</v>
      </c>
    </row>
    <row r="747" spans="1:5" x14ac:dyDescent="0.25">
      <c r="A747" s="3">
        <v>43101</v>
      </c>
      <c r="B747" s="2" t="s">
        <v>7</v>
      </c>
      <c r="C747" s="44">
        <v>3820.28</v>
      </c>
      <c r="D747" s="45">
        <v>26</v>
      </c>
      <c r="E747" s="44">
        <v>146.93384599999999</v>
      </c>
    </row>
    <row r="748" spans="1:5" x14ac:dyDescent="0.25">
      <c r="A748" s="3">
        <v>43101</v>
      </c>
      <c r="B748" s="2" t="s">
        <v>8</v>
      </c>
      <c r="C748" s="44">
        <v>35855.019999999997</v>
      </c>
      <c r="D748" s="45">
        <v>267</v>
      </c>
      <c r="E748" s="44">
        <v>134.288464</v>
      </c>
    </row>
    <row r="749" spans="1:5" x14ac:dyDescent="0.25">
      <c r="A749" s="3">
        <v>43101</v>
      </c>
      <c r="B749" s="2" t="s">
        <v>9</v>
      </c>
      <c r="C749" s="44">
        <v>29833.88</v>
      </c>
      <c r="D749" s="45">
        <v>219</v>
      </c>
      <c r="E749" s="44">
        <v>136.22776300000001</v>
      </c>
    </row>
    <row r="750" spans="1:5" x14ac:dyDescent="0.25">
      <c r="A750" s="3">
        <v>43101</v>
      </c>
      <c r="B750" s="2" t="s">
        <v>10</v>
      </c>
      <c r="C750" s="44">
        <v>75408.13</v>
      </c>
      <c r="D750" s="45">
        <v>836</v>
      </c>
      <c r="E750" s="44">
        <v>90.201111999999995</v>
      </c>
    </row>
    <row r="751" spans="1:5" x14ac:dyDescent="0.25">
      <c r="A751" s="3">
        <v>43101</v>
      </c>
      <c r="B751" s="2" t="s">
        <v>36</v>
      </c>
      <c r="C751" s="44">
        <v>2160.1999999999998</v>
      </c>
      <c r="D751" s="45">
        <v>44</v>
      </c>
      <c r="E751" s="44">
        <v>49.095455000000001</v>
      </c>
    </row>
    <row r="752" spans="1:5" x14ac:dyDescent="0.25">
      <c r="A752" s="3">
        <v>43101</v>
      </c>
      <c r="B752" s="2" t="s">
        <v>65</v>
      </c>
      <c r="C752" s="44">
        <v>583</v>
      </c>
      <c r="D752" s="45">
        <v>6</v>
      </c>
      <c r="E752" s="44">
        <v>97.166667000000004</v>
      </c>
    </row>
    <row r="753" spans="1:5" x14ac:dyDescent="0.25">
      <c r="A753" s="3">
        <v>43101</v>
      </c>
      <c r="B753" s="2" t="s">
        <v>51</v>
      </c>
      <c r="C753" s="44">
        <v>1176.55</v>
      </c>
      <c r="D753" s="45">
        <v>17</v>
      </c>
      <c r="E753" s="44">
        <v>69.208824000000007</v>
      </c>
    </row>
    <row r="754" spans="1:5" x14ac:dyDescent="0.25">
      <c r="A754" s="3">
        <v>43101</v>
      </c>
      <c r="B754" s="2" t="s">
        <v>66</v>
      </c>
      <c r="C754" s="44">
        <v>851.5</v>
      </c>
      <c r="D754" s="45">
        <v>10</v>
      </c>
      <c r="E754" s="44">
        <v>85.15</v>
      </c>
    </row>
    <row r="755" spans="1:5" x14ac:dyDescent="0.25">
      <c r="A755" s="3">
        <v>43101</v>
      </c>
      <c r="B755" s="2" t="s">
        <v>52</v>
      </c>
      <c r="C755" s="44">
        <v>199.98</v>
      </c>
      <c r="D755" s="45">
        <v>2</v>
      </c>
      <c r="E755" s="44">
        <v>99.99</v>
      </c>
    </row>
    <row r="756" spans="1:5" x14ac:dyDescent="0.25">
      <c r="A756" s="3">
        <v>43101</v>
      </c>
      <c r="B756" s="2" t="s">
        <v>37</v>
      </c>
      <c r="C756" s="44">
        <v>6851</v>
      </c>
      <c r="D756" s="45">
        <v>11</v>
      </c>
      <c r="E756" s="44">
        <v>622.81818199999998</v>
      </c>
    </row>
    <row r="757" spans="1:5" x14ac:dyDescent="0.25">
      <c r="A757" s="3">
        <v>43101</v>
      </c>
      <c r="B757" s="2" t="s">
        <v>11</v>
      </c>
      <c r="C757" s="44">
        <v>80503.87</v>
      </c>
      <c r="D757" s="45">
        <v>688</v>
      </c>
      <c r="E757" s="44">
        <v>117.011439</v>
      </c>
    </row>
    <row r="758" spans="1:5" x14ac:dyDescent="0.25">
      <c r="A758" s="3">
        <v>43101</v>
      </c>
      <c r="B758" s="2" t="s">
        <v>12</v>
      </c>
      <c r="C758" s="44">
        <v>7313.28</v>
      </c>
      <c r="D758" s="45">
        <v>51</v>
      </c>
      <c r="E758" s="44">
        <v>143.39764700000001</v>
      </c>
    </row>
    <row r="759" spans="1:5" x14ac:dyDescent="0.25">
      <c r="A759" s="3">
        <v>43101</v>
      </c>
      <c r="B759" s="2" t="s">
        <v>53</v>
      </c>
      <c r="C759" s="44">
        <v>9664.18</v>
      </c>
      <c r="D759" s="45">
        <v>48</v>
      </c>
      <c r="E759" s="44">
        <v>201.33708300000001</v>
      </c>
    </row>
    <row r="760" spans="1:5" x14ac:dyDescent="0.25">
      <c r="A760" s="3">
        <v>43101</v>
      </c>
      <c r="B760" s="2" t="s">
        <v>75</v>
      </c>
      <c r="C760" s="44">
        <v>2392.9899999999998</v>
      </c>
      <c r="D760" s="45">
        <v>7</v>
      </c>
      <c r="E760" s="44">
        <v>341.85571399999998</v>
      </c>
    </row>
    <row r="761" spans="1:5" x14ac:dyDescent="0.25">
      <c r="A761" s="3">
        <v>43101</v>
      </c>
      <c r="B761" s="2" t="s">
        <v>54</v>
      </c>
      <c r="C761" s="44">
        <v>2228.89</v>
      </c>
      <c r="D761" s="45">
        <v>11</v>
      </c>
      <c r="E761" s="44">
        <v>202.626364</v>
      </c>
    </row>
    <row r="762" spans="1:5" x14ac:dyDescent="0.25">
      <c r="A762" s="3">
        <v>43101</v>
      </c>
      <c r="B762" s="2" t="s">
        <v>13</v>
      </c>
      <c r="C762" s="44">
        <v>38942.410000000003</v>
      </c>
      <c r="D762" s="45">
        <v>296</v>
      </c>
      <c r="E762" s="44">
        <v>131.562196</v>
      </c>
    </row>
    <row r="763" spans="1:5" x14ac:dyDescent="0.25">
      <c r="A763" s="3">
        <v>43101</v>
      </c>
      <c r="B763" s="2" t="s">
        <v>55</v>
      </c>
      <c r="C763" s="44">
        <v>3927.98</v>
      </c>
      <c r="D763" s="45">
        <v>24</v>
      </c>
      <c r="E763" s="44">
        <v>163.66583299999999</v>
      </c>
    </row>
    <row r="764" spans="1:5" x14ac:dyDescent="0.25">
      <c r="A764" s="3">
        <v>43101</v>
      </c>
      <c r="B764" s="2" t="s">
        <v>67</v>
      </c>
      <c r="C764" s="44">
        <v>532.29999999999995</v>
      </c>
      <c r="D764" s="45">
        <v>8</v>
      </c>
      <c r="E764" s="44">
        <v>66.537499999999994</v>
      </c>
    </row>
    <row r="765" spans="1:5" x14ac:dyDescent="0.25">
      <c r="A765" s="3">
        <v>43101</v>
      </c>
      <c r="B765" s="2" t="s">
        <v>14</v>
      </c>
      <c r="C765" s="44">
        <v>125</v>
      </c>
      <c r="D765" s="45">
        <v>5</v>
      </c>
      <c r="E765" s="44">
        <v>25</v>
      </c>
    </row>
    <row r="766" spans="1:5" x14ac:dyDescent="0.25">
      <c r="A766" s="3">
        <v>43101</v>
      </c>
      <c r="B766" s="2" t="s">
        <v>61</v>
      </c>
      <c r="C766" s="44">
        <v>2227.61</v>
      </c>
      <c r="D766" s="45">
        <v>50</v>
      </c>
      <c r="E766" s="44">
        <v>44.552199999999999</v>
      </c>
    </row>
    <row r="767" spans="1:5" x14ac:dyDescent="0.25">
      <c r="A767" s="3">
        <v>43101</v>
      </c>
      <c r="B767" s="2" t="s">
        <v>38</v>
      </c>
      <c r="C767" s="44">
        <v>49.8</v>
      </c>
      <c r="D767" s="45">
        <v>2</v>
      </c>
      <c r="E767" s="44">
        <v>24.9</v>
      </c>
    </row>
    <row r="768" spans="1:5" x14ac:dyDescent="0.25">
      <c r="A768" s="3">
        <v>43101</v>
      </c>
      <c r="B768" s="2" t="s">
        <v>15</v>
      </c>
      <c r="C768" s="44">
        <v>15884.28</v>
      </c>
      <c r="D768" s="45">
        <v>348</v>
      </c>
      <c r="E768" s="44">
        <v>45.644483000000001</v>
      </c>
    </row>
    <row r="769" spans="1:5" x14ac:dyDescent="0.25">
      <c r="A769" s="3">
        <v>43101</v>
      </c>
      <c r="B769" s="2" t="s">
        <v>16</v>
      </c>
      <c r="C769" s="44">
        <v>161.79</v>
      </c>
      <c r="D769" s="45">
        <v>3</v>
      </c>
      <c r="E769" s="44">
        <v>53.93</v>
      </c>
    </row>
    <row r="770" spans="1:5" x14ac:dyDescent="0.25">
      <c r="A770" s="3">
        <v>43101</v>
      </c>
      <c r="B770" s="2" t="s">
        <v>17</v>
      </c>
      <c r="C770" s="44">
        <v>7931.72</v>
      </c>
      <c r="D770" s="45">
        <v>125</v>
      </c>
      <c r="E770" s="44">
        <v>63.453760000000003</v>
      </c>
    </row>
    <row r="771" spans="1:5" x14ac:dyDescent="0.25">
      <c r="A771" s="3">
        <v>43101</v>
      </c>
      <c r="B771" s="2" t="s">
        <v>18</v>
      </c>
      <c r="C771" s="44">
        <v>550.6</v>
      </c>
      <c r="D771" s="45">
        <v>6</v>
      </c>
      <c r="E771" s="44">
        <v>91.766666999999998</v>
      </c>
    </row>
    <row r="772" spans="1:5" x14ac:dyDescent="0.25">
      <c r="A772" s="3">
        <v>43101</v>
      </c>
      <c r="B772" s="2" t="s">
        <v>19</v>
      </c>
      <c r="C772" s="44">
        <v>666.7</v>
      </c>
      <c r="D772" s="45">
        <v>9</v>
      </c>
      <c r="E772" s="44">
        <v>74.077777999999995</v>
      </c>
    </row>
    <row r="773" spans="1:5" x14ac:dyDescent="0.25">
      <c r="A773" s="3">
        <v>43101</v>
      </c>
      <c r="B773" s="2" t="s">
        <v>62</v>
      </c>
      <c r="C773" s="44">
        <v>119.8</v>
      </c>
      <c r="D773" s="45">
        <v>2</v>
      </c>
      <c r="E773" s="44">
        <v>59.9</v>
      </c>
    </row>
    <row r="774" spans="1:5" x14ac:dyDescent="0.25">
      <c r="A774" s="3">
        <v>43101</v>
      </c>
      <c r="B774" s="2" t="s">
        <v>39</v>
      </c>
      <c r="C774" s="44">
        <v>754.5</v>
      </c>
      <c r="D774" s="45">
        <v>8</v>
      </c>
      <c r="E774" s="44">
        <v>94.3125</v>
      </c>
    </row>
    <row r="775" spans="1:5" x14ac:dyDescent="0.25">
      <c r="A775" s="3">
        <v>43101</v>
      </c>
      <c r="B775" s="2" t="s">
        <v>20</v>
      </c>
      <c r="C775" s="44">
        <v>2444.1</v>
      </c>
      <c r="D775" s="45">
        <v>10</v>
      </c>
      <c r="E775" s="44">
        <v>244.41</v>
      </c>
    </row>
    <row r="776" spans="1:5" x14ac:dyDescent="0.25">
      <c r="A776" s="3">
        <v>43101</v>
      </c>
      <c r="B776" s="2" t="s">
        <v>77</v>
      </c>
      <c r="C776" s="44">
        <v>284.60000000000002</v>
      </c>
      <c r="D776" s="45">
        <v>10</v>
      </c>
      <c r="E776" s="44">
        <v>28.46</v>
      </c>
    </row>
    <row r="777" spans="1:5" x14ac:dyDescent="0.25">
      <c r="A777" s="3">
        <v>43101</v>
      </c>
      <c r="B777" s="2" t="s">
        <v>21</v>
      </c>
      <c r="C777" s="44">
        <v>829.56</v>
      </c>
      <c r="D777" s="45">
        <v>19</v>
      </c>
      <c r="E777" s="44">
        <v>43.661053000000003</v>
      </c>
    </row>
    <row r="778" spans="1:5" x14ac:dyDescent="0.25">
      <c r="A778" s="3">
        <v>43101</v>
      </c>
      <c r="B778" s="2" t="s">
        <v>63</v>
      </c>
      <c r="C778" s="44">
        <v>341.17</v>
      </c>
      <c r="D778" s="45">
        <v>11</v>
      </c>
      <c r="E778" s="44">
        <v>31.015454999999999</v>
      </c>
    </row>
    <row r="779" spans="1:5" x14ac:dyDescent="0.25">
      <c r="A779" s="3">
        <v>43101</v>
      </c>
      <c r="B779" s="2" t="s">
        <v>40</v>
      </c>
      <c r="C779" s="44">
        <v>914.8</v>
      </c>
      <c r="D779" s="45">
        <v>5</v>
      </c>
      <c r="E779" s="44">
        <v>182.96</v>
      </c>
    </row>
    <row r="780" spans="1:5" x14ac:dyDescent="0.25">
      <c r="A780" s="3">
        <v>43101</v>
      </c>
      <c r="B780" s="2" t="s">
        <v>22</v>
      </c>
      <c r="C780" s="44">
        <v>53798.81</v>
      </c>
      <c r="D780" s="45">
        <v>595</v>
      </c>
      <c r="E780" s="44">
        <v>90.418167999999994</v>
      </c>
    </row>
    <row r="781" spans="1:5" x14ac:dyDescent="0.25">
      <c r="A781" s="3">
        <v>43101</v>
      </c>
      <c r="B781" s="2" t="s">
        <v>41</v>
      </c>
      <c r="C781" s="44">
        <v>2308.1</v>
      </c>
      <c r="D781" s="45">
        <v>22</v>
      </c>
      <c r="E781" s="44">
        <v>104.913636</v>
      </c>
    </row>
    <row r="782" spans="1:5" x14ac:dyDescent="0.25">
      <c r="A782" s="3">
        <v>43101</v>
      </c>
      <c r="B782" s="2" t="s">
        <v>68</v>
      </c>
      <c r="C782" s="44">
        <v>860.5</v>
      </c>
      <c r="D782" s="45">
        <v>9</v>
      </c>
      <c r="E782" s="44">
        <v>95.611110999999994</v>
      </c>
    </row>
    <row r="783" spans="1:5" x14ac:dyDescent="0.25">
      <c r="A783" s="3">
        <v>43101</v>
      </c>
      <c r="B783" s="2" t="s">
        <v>23</v>
      </c>
      <c r="C783" s="44">
        <v>26793.06</v>
      </c>
      <c r="D783" s="45">
        <v>236</v>
      </c>
      <c r="E783" s="44">
        <v>113.529915</v>
      </c>
    </row>
    <row r="784" spans="1:5" x14ac:dyDescent="0.25">
      <c r="A784" s="3">
        <v>43101</v>
      </c>
      <c r="B784" s="2" t="s">
        <v>5</v>
      </c>
      <c r="C784" s="44">
        <v>71405.600000000006</v>
      </c>
      <c r="D784" s="45">
        <v>619</v>
      </c>
      <c r="E784" s="44">
        <v>115.356381</v>
      </c>
    </row>
    <row r="785" spans="1:5" x14ac:dyDescent="0.25">
      <c r="A785" s="3">
        <v>43101</v>
      </c>
      <c r="B785" s="2" t="s">
        <v>56</v>
      </c>
      <c r="C785" s="44">
        <v>1725.15</v>
      </c>
      <c r="D785" s="45">
        <v>27</v>
      </c>
      <c r="E785" s="44">
        <v>63.894444</v>
      </c>
    </row>
    <row r="786" spans="1:5" x14ac:dyDescent="0.25">
      <c r="A786" s="3">
        <v>43101</v>
      </c>
      <c r="B786" s="2" t="s">
        <v>42</v>
      </c>
      <c r="C786" s="44">
        <v>8630.1</v>
      </c>
      <c r="D786" s="45">
        <v>13</v>
      </c>
      <c r="E786" s="44">
        <v>663.85384599999998</v>
      </c>
    </row>
    <row r="787" spans="1:5" x14ac:dyDescent="0.25">
      <c r="A787" s="3">
        <v>43101</v>
      </c>
      <c r="B787" s="2" t="s">
        <v>57</v>
      </c>
      <c r="C787" s="44">
        <v>3020.16</v>
      </c>
      <c r="D787" s="45">
        <v>18</v>
      </c>
      <c r="E787" s="44">
        <v>167.78666699999999</v>
      </c>
    </row>
    <row r="788" spans="1:5" x14ac:dyDescent="0.25">
      <c r="A788" s="3">
        <v>43101</v>
      </c>
      <c r="B788" s="2" t="s">
        <v>58</v>
      </c>
      <c r="C788" s="44">
        <v>5747.78</v>
      </c>
      <c r="D788" s="45">
        <v>40</v>
      </c>
      <c r="E788" s="44">
        <v>143.69450000000001</v>
      </c>
    </row>
    <row r="789" spans="1:5" x14ac:dyDescent="0.25">
      <c r="A789" s="3">
        <v>43101</v>
      </c>
      <c r="B789" s="2" t="s">
        <v>24</v>
      </c>
      <c r="C789" s="44">
        <v>37446.74</v>
      </c>
      <c r="D789" s="45">
        <v>351</v>
      </c>
      <c r="E789" s="44">
        <v>106.685869</v>
      </c>
    </row>
    <row r="790" spans="1:5" x14ac:dyDescent="0.25">
      <c r="A790" s="3">
        <v>43101</v>
      </c>
      <c r="B790" s="2" t="s">
        <v>25</v>
      </c>
      <c r="C790" s="44">
        <v>2681.1</v>
      </c>
      <c r="D790" s="45">
        <v>18</v>
      </c>
      <c r="E790" s="44">
        <v>148.94999999999999</v>
      </c>
    </row>
    <row r="791" spans="1:5" x14ac:dyDescent="0.25">
      <c r="A791" s="3">
        <v>43101</v>
      </c>
      <c r="B791" s="2" t="s">
        <v>44</v>
      </c>
      <c r="C791" s="44">
        <v>4838.5</v>
      </c>
      <c r="D791" s="45">
        <v>21</v>
      </c>
      <c r="E791" s="44">
        <v>230.40476200000001</v>
      </c>
    </row>
    <row r="792" spans="1:5" x14ac:dyDescent="0.25">
      <c r="A792" s="3">
        <v>43101</v>
      </c>
      <c r="B792" s="2" t="s">
        <v>69</v>
      </c>
      <c r="C792" s="44">
        <v>112</v>
      </c>
      <c r="D792" s="45">
        <v>1</v>
      </c>
      <c r="E792" s="44">
        <v>112</v>
      </c>
    </row>
    <row r="793" spans="1:5" x14ac:dyDescent="0.25">
      <c r="A793" s="3">
        <v>43101</v>
      </c>
      <c r="B793" s="2" t="s">
        <v>45</v>
      </c>
      <c r="C793" s="44">
        <v>18546.32</v>
      </c>
      <c r="D793" s="45">
        <v>126</v>
      </c>
      <c r="E793" s="44">
        <v>147.193016</v>
      </c>
    </row>
    <row r="794" spans="1:5" x14ac:dyDescent="0.25">
      <c r="A794" s="3">
        <v>43101</v>
      </c>
      <c r="B794" s="2" t="s">
        <v>26</v>
      </c>
      <c r="C794" s="44">
        <v>818.72</v>
      </c>
      <c r="D794" s="45">
        <v>14</v>
      </c>
      <c r="E794" s="44">
        <v>58.48</v>
      </c>
    </row>
    <row r="795" spans="1:5" x14ac:dyDescent="0.25">
      <c r="A795" s="3">
        <v>43101</v>
      </c>
      <c r="B795" s="2" t="s">
        <v>46</v>
      </c>
      <c r="C795" s="44">
        <v>24.97</v>
      </c>
      <c r="D795" s="45">
        <v>1</v>
      </c>
      <c r="E795" s="44">
        <v>24.97</v>
      </c>
    </row>
    <row r="796" spans="1:5" x14ac:dyDescent="0.25">
      <c r="A796" s="3">
        <v>43101</v>
      </c>
      <c r="B796" s="2" t="s">
        <v>47</v>
      </c>
      <c r="C796" s="44">
        <v>15178.58</v>
      </c>
      <c r="D796" s="45">
        <v>51</v>
      </c>
      <c r="E796" s="44">
        <v>297.61921599999999</v>
      </c>
    </row>
    <row r="797" spans="1:5" x14ac:dyDescent="0.25">
      <c r="A797" s="3">
        <v>43101</v>
      </c>
      <c r="B797" s="2" t="s">
        <v>27</v>
      </c>
      <c r="C797" s="44">
        <v>19485.419999999998</v>
      </c>
      <c r="D797" s="45">
        <v>142</v>
      </c>
      <c r="E797" s="44">
        <v>137.22126800000001</v>
      </c>
    </row>
    <row r="798" spans="1:5" x14ac:dyDescent="0.25">
      <c r="A798" s="3">
        <v>43101</v>
      </c>
      <c r="B798" s="2" t="s">
        <v>76</v>
      </c>
      <c r="C798" s="44">
        <v>135.80000000000001</v>
      </c>
      <c r="D798" s="45">
        <v>2</v>
      </c>
      <c r="E798" s="44">
        <v>67.900000000000006</v>
      </c>
    </row>
    <row r="799" spans="1:5" x14ac:dyDescent="0.25">
      <c r="A799" s="3">
        <v>43101</v>
      </c>
      <c r="B799" s="2" t="s">
        <v>28</v>
      </c>
      <c r="C799" s="44">
        <v>19555.37</v>
      </c>
      <c r="D799" s="45">
        <v>223</v>
      </c>
      <c r="E799" s="44">
        <v>87.692241999999993</v>
      </c>
    </row>
    <row r="800" spans="1:5" x14ac:dyDescent="0.25">
      <c r="A800" s="3">
        <v>43101</v>
      </c>
      <c r="B800" s="2" t="s">
        <v>29</v>
      </c>
      <c r="C800" s="44">
        <v>10796.06</v>
      </c>
      <c r="D800" s="45">
        <v>89</v>
      </c>
      <c r="E800" s="44">
        <v>121.304045</v>
      </c>
    </row>
    <row r="801" spans="1:5" x14ac:dyDescent="0.25">
      <c r="A801" s="3">
        <v>43101</v>
      </c>
      <c r="B801" s="2" t="s">
        <v>64</v>
      </c>
      <c r="C801" s="44">
        <v>1048.79</v>
      </c>
      <c r="D801" s="45">
        <v>8</v>
      </c>
      <c r="E801" s="44">
        <v>131.09875</v>
      </c>
    </row>
    <row r="802" spans="1:5" x14ac:dyDescent="0.25">
      <c r="A802" s="3">
        <v>43101</v>
      </c>
      <c r="B802" s="2" t="s">
        <v>49</v>
      </c>
      <c r="C802" s="44">
        <v>14261.81</v>
      </c>
      <c r="D802" s="45">
        <v>53</v>
      </c>
      <c r="E802" s="44">
        <v>269.090755</v>
      </c>
    </row>
    <row r="803" spans="1:5" x14ac:dyDescent="0.25">
      <c r="A803" s="3">
        <v>43101</v>
      </c>
      <c r="B803" s="2" t="s">
        <v>73</v>
      </c>
      <c r="C803" s="44">
        <v>369.99</v>
      </c>
      <c r="D803" s="45">
        <v>1</v>
      </c>
      <c r="E803" s="44">
        <v>369.99</v>
      </c>
    </row>
    <row r="804" spans="1:5" x14ac:dyDescent="0.25">
      <c r="A804" s="3">
        <v>43101</v>
      </c>
      <c r="B804" s="2" t="s">
        <v>30</v>
      </c>
      <c r="C804" s="44">
        <v>86172.83</v>
      </c>
      <c r="D804" s="45">
        <v>642</v>
      </c>
      <c r="E804" s="44">
        <v>134.22559200000001</v>
      </c>
    </row>
    <row r="805" spans="1:5" x14ac:dyDescent="0.25">
      <c r="A805" s="3">
        <v>43101</v>
      </c>
      <c r="B805" s="2" t="s">
        <v>50</v>
      </c>
      <c r="C805" s="44">
        <v>39522.720000000001</v>
      </c>
      <c r="D805" s="45">
        <v>385</v>
      </c>
      <c r="E805" s="44">
        <v>102.65641599999999</v>
      </c>
    </row>
    <row r="806" spans="1:5" x14ac:dyDescent="0.25">
      <c r="A806" s="3">
        <v>43101</v>
      </c>
      <c r="B806" s="2" t="s">
        <v>59</v>
      </c>
      <c r="C806" s="44">
        <v>161.80000000000001</v>
      </c>
      <c r="D806" s="45">
        <v>3</v>
      </c>
      <c r="E806" s="44">
        <v>53.933332999999998</v>
      </c>
    </row>
    <row r="807" spans="1:5" x14ac:dyDescent="0.25">
      <c r="A807" s="3">
        <v>43101</v>
      </c>
      <c r="B807" s="2" t="s">
        <v>31</v>
      </c>
      <c r="C807" s="44">
        <v>14700.08</v>
      </c>
      <c r="D807" s="45">
        <v>368</v>
      </c>
      <c r="E807" s="44">
        <v>39.945869999999999</v>
      </c>
    </row>
    <row r="808" spans="1:5" x14ac:dyDescent="0.25">
      <c r="A808" s="3">
        <v>43101</v>
      </c>
      <c r="B808" s="2" t="s">
        <v>32</v>
      </c>
      <c r="C808" s="44">
        <v>21382.85</v>
      </c>
      <c r="D808" s="45">
        <v>161</v>
      </c>
      <c r="E808" s="44">
        <v>132.81273300000001</v>
      </c>
    </row>
    <row r="809" spans="1:5" x14ac:dyDescent="0.25">
      <c r="A809" s="3">
        <v>43101</v>
      </c>
      <c r="B809" s="2" t="s">
        <v>33</v>
      </c>
      <c r="C809" s="44">
        <v>20993.63</v>
      </c>
      <c r="D809" s="45">
        <v>193</v>
      </c>
      <c r="E809" s="44">
        <v>108.775285</v>
      </c>
    </row>
    <row r="810" spans="1:5" x14ac:dyDescent="0.25">
      <c r="A810" s="3">
        <v>43101</v>
      </c>
      <c r="B810" s="2" t="s">
        <v>34</v>
      </c>
      <c r="C810" s="44">
        <v>73521.240000000005</v>
      </c>
      <c r="D810" s="45">
        <v>355</v>
      </c>
      <c r="E810" s="44">
        <v>207.10208499999999</v>
      </c>
    </row>
    <row r="811" spans="1:5" x14ac:dyDescent="0.25">
      <c r="A811" s="3">
        <v>43132</v>
      </c>
      <c r="B811" s="2" t="s">
        <v>35</v>
      </c>
      <c r="C811" s="44">
        <v>7385.3</v>
      </c>
      <c r="D811" s="45">
        <v>26</v>
      </c>
      <c r="E811" s="44">
        <v>284.05</v>
      </c>
    </row>
    <row r="812" spans="1:5" x14ac:dyDescent="0.25">
      <c r="A812" s="3">
        <v>43132</v>
      </c>
      <c r="B812" s="2" t="s">
        <v>6</v>
      </c>
      <c r="C812" s="44">
        <v>2626.89</v>
      </c>
      <c r="D812" s="45">
        <v>12</v>
      </c>
      <c r="E812" s="44">
        <v>218.9075</v>
      </c>
    </row>
    <row r="813" spans="1:5" x14ac:dyDescent="0.25">
      <c r="A813" s="3">
        <v>43132</v>
      </c>
      <c r="B813" s="2" t="s">
        <v>60</v>
      </c>
      <c r="C813" s="44">
        <v>1216.71</v>
      </c>
      <c r="D813" s="45">
        <v>12</v>
      </c>
      <c r="E813" s="44">
        <v>101.3925</v>
      </c>
    </row>
    <row r="814" spans="1:5" x14ac:dyDescent="0.25">
      <c r="A814" s="3">
        <v>43132</v>
      </c>
      <c r="B814" s="2" t="s">
        <v>7</v>
      </c>
      <c r="C814" s="44">
        <v>2828.49</v>
      </c>
      <c r="D814" s="45">
        <v>15</v>
      </c>
      <c r="E814" s="44">
        <v>188.566</v>
      </c>
    </row>
    <row r="815" spans="1:5" x14ac:dyDescent="0.25">
      <c r="A815" s="3">
        <v>43132</v>
      </c>
      <c r="B815" s="2" t="s">
        <v>8</v>
      </c>
      <c r="C815" s="44">
        <v>41048.51</v>
      </c>
      <c r="D815" s="45">
        <v>315</v>
      </c>
      <c r="E815" s="44">
        <v>130.31272999999999</v>
      </c>
    </row>
    <row r="816" spans="1:5" x14ac:dyDescent="0.25">
      <c r="A816" s="3">
        <v>43132</v>
      </c>
      <c r="B816" s="2" t="s">
        <v>9</v>
      </c>
      <c r="C816" s="44">
        <v>25857.279999999999</v>
      </c>
      <c r="D816" s="45">
        <v>172</v>
      </c>
      <c r="E816" s="44">
        <v>150.333023</v>
      </c>
    </row>
    <row r="817" spans="1:5" x14ac:dyDescent="0.25">
      <c r="A817" s="3">
        <v>43132</v>
      </c>
      <c r="B817" s="2" t="s">
        <v>10</v>
      </c>
      <c r="C817" s="44">
        <v>60366.29</v>
      </c>
      <c r="D817" s="45">
        <v>685</v>
      </c>
      <c r="E817" s="44">
        <v>88.125971000000007</v>
      </c>
    </row>
    <row r="818" spans="1:5" x14ac:dyDescent="0.25">
      <c r="A818" s="3">
        <v>43132</v>
      </c>
      <c r="B818" s="2" t="s">
        <v>36</v>
      </c>
      <c r="C818" s="44">
        <v>1886.65</v>
      </c>
      <c r="D818" s="45">
        <v>28</v>
      </c>
      <c r="E818" s="44">
        <v>67.380357000000004</v>
      </c>
    </row>
    <row r="819" spans="1:5" x14ac:dyDescent="0.25">
      <c r="A819" s="3">
        <v>43132</v>
      </c>
      <c r="B819" s="2" t="s">
        <v>65</v>
      </c>
      <c r="C819" s="44">
        <v>325</v>
      </c>
      <c r="D819" s="45">
        <v>3</v>
      </c>
      <c r="E819" s="44">
        <v>108.333333</v>
      </c>
    </row>
    <row r="820" spans="1:5" x14ac:dyDescent="0.25">
      <c r="A820" s="3">
        <v>43132</v>
      </c>
      <c r="B820" s="2" t="s">
        <v>51</v>
      </c>
      <c r="C820" s="44">
        <v>1411.21</v>
      </c>
      <c r="D820" s="45">
        <v>26</v>
      </c>
      <c r="E820" s="44">
        <v>54.277307999999998</v>
      </c>
    </row>
    <row r="821" spans="1:5" x14ac:dyDescent="0.25">
      <c r="A821" s="3">
        <v>43132</v>
      </c>
      <c r="B821" s="2" t="s">
        <v>66</v>
      </c>
      <c r="C821" s="44">
        <v>2059.65</v>
      </c>
      <c r="D821" s="45">
        <v>24</v>
      </c>
      <c r="E821" s="44">
        <v>85.818749999999994</v>
      </c>
    </row>
    <row r="822" spans="1:5" x14ac:dyDescent="0.25">
      <c r="A822" s="3">
        <v>43132</v>
      </c>
      <c r="B822" s="2" t="s">
        <v>52</v>
      </c>
      <c r="C822" s="44">
        <v>227.99</v>
      </c>
      <c r="D822" s="45">
        <v>2</v>
      </c>
      <c r="E822" s="44">
        <v>113.995</v>
      </c>
    </row>
    <row r="823" spans="1:5" x14ac:dyDescent="0.25">
      <c r="A823" s="3">
        <v>43132</v>
      </c>
      <c r="B823" s="2" t="s">
        <v>11</v>
      </c>
      <c r="C823" s="44">
        <v>100131.99</v>
      </c>
      <c r="D823" s="45">
        <v>971</v>
      </c>
      <c r="E823" s="44">
        <v>103.122544</v>
      </c>
    </row>
    <row r="824" spans="1:5" x14ac:dyDescent="0.25">
      <c r="A824" s="3">
        <v>43132</v>
      </c>
      <c r="B824" s="2" t="s">
        <v>12</v>
      </c>
      <c r="C824" s="44">
        <v>11763.83</v>
      </c>
      <c r="D824" s="45">
        <v>51</v>
      </c>
      <c r="E824" s="44">
        <v>230.66333299999999</v>
      </c>
    </row>
    <row r="825" spans="1:5" x14ac:dyDescent="0.25">
      <c r="A825" s="3">
        <v>43132</v>
      </c>
      <c r="B825" s="2" t="s">
        <v>53</v>
      </c>
      <c r="C825" s="44">
        <v>8991.07</v>
      </c>
      <c r="D825" s="45">
        <v>68</v>
      </c>
      <c r="E825" s="44">
        <v>132.22161800000001</v>
      </c>
    </row>
    <row r="826" spans="1:5" x14ac:dyDescent="0.25">
      <c r="A826" s="3">
        <v>43132</v>
      </c>
      <c r="B826" s="2" t="s">
        <v>75</v>
      </c>
      <c r="C826" s="44">
        <v>1610.8</v>
      </c>
      <c r="D826" s="45">
        <v>17</v>
      </c>
      <c r="E826" s="44">
        <v>94.752941000000007</v>
      </c>
    </row>
    <row r="827" spans="1:5" x14ac:dyDescent="0.25">
      <c r="A827" s="3">
        <v>43132</v>
      </c>
      <c r="B827" s="2" t="s">
        <v>54</v>
      </c>
      <c r="C827" s="44">
        <v>5965.75</v>
      </c>
      <c r="D827" s="45">
        <v>8</v>
      </c>
      <c r="E827" s="44">
        <v>745.71875</v>
      </c>
    </row>
    <row r="828" spans="1:5" x14ac:dyDescent="0.25">
      <c r="A828" s="3">
        <v>43132</v>
      </c>
      <c r="B828" s="2" t="s">
        <v>13</v>
      </c>
      <c r="C828" s="44">
        <v>29772.25</v>
      </c>
      <c r="D828" s="45">
        <v>180</v>
      </c>
      <c r="E828" s="44">
        <v>165.40138899999999</v>
      </c>
    </row>
    <row r="829" spans="1:5" x14ac:dyDescent="0.25">
      <c r="A829" s="3">
        <v>43132</v>
      </c>
      <c r="B829" s="2" t="s">
        <v>55</v>
      </c>
      <c r="C829" s="44">
        <v>1538.25</v>
      </c>
      <c r="D829" s="45">
        <v>20</v>
      </c>
      <c r="E829" s="44">
        <v>76.912499999999994</v>
      </c>
    </row>
    <row r="830" spans="1:5" x14ac:dyDescent="0.25">
      <c r="A830" s="3">
        <v>43132</v>
      </c>
      <c r="B830" s="2" t="s">
        <v>67</v>
      </c>
      <c r="C830" s="44">
        <v>1318.2</v>
      </c>
      <c r="D830" s="45">
        <v>12</v>
      </c>
      <c r="E830" s="44">
        <v>109.85</v>
      </c>
    </row>
    <row r="831" spans="1:5" x14ac:dyDescent="0.25">
      <c r="A831" s="3">
        <v>43132</v>
      </c>
      <c r="B831" s="2" t="s">
        <v>14</v>
      </c>
      <c r="C831" s="44">
        <v>100</v>
      </c>
      <c r="D831" s="45">
        <v>4</v>
      </c>
      <c r="E831" s="44">
        <v>25</v>
      </c>
    </row>
    <row r="832" spans="1:5" x14ac:dyDescent="0.25">
      <c r="A832" s="3">
        <v>43132</v>
      </c>
      <c r="B832" s="2" t="s">
        <v>61</v>
      </c>
      <c r="C832" s="44">
        <v>1919.95</v>
      </c>
      <c r="D832" s="45">
        <v>31</v>
      </c>
      <c r="E832" s="44">
        <v>61.933871000000003</v>
      </c>
    </row>
    <row r="833" spans="1:5" x14ac:dyDescent="0.25">
      <c r="A833" s="3">
        <v>43132</v>
      </c>
      <c r="B833" s="2" t="s">
        <v>38</v>
      </c>
      <c r="C833" s="44">
        <v>24.9</v>
      </c>
      <c r="D833" s="45">
        <v>1</v>
      </c>
      <c r="E833" s="44">
        <v>24.9</v>
      </c>
    </row>
    <row r="834" spans="1:5" x14ac:dyDescent="0.25">
      <c r="A834" s="3">
        <v>43132</v>
      </c>
      <c r="B834" s="2" t="s">
        <v>15</v>
      </c>
      <c r="C834" s="44">
        <v>14764.7</v>
      </c>
      <c r="D834" s="45">
        <v>331</v>
      </c>
      <c r="E834" s="44">
        <v>44.606344</v>
      </c>
    </row>
    <row r="835" spans="1:5" x14ac:dyDescent="0.25">
      <c r="A835" s="3">
        <v>43132</v>
      </c>
      <c r="B835" s="2" t="s">
        <v>16</v>
      </c>
      <c r="C835" s="44">
        <v>29.99</v>
      </c>
      <c r="D835" s="45">
        <v>1</v>
      </c>
      <c r="E835" s="44">
        <v>29.99</v>
      </c>
    </row>
    <row r="836" spans="1:5" x14ac:dyDescent="0.25">
      <c r="A836" s="3">
        <v>43132</v>
      </c>
      <c r="B836" s="2" t="s">
        <v>17</v>
      </c>
      <c r="C836" s="44">
        <v>9786.6299999999992</v>
      </c>
      <c r="D836" s="45">
        <v>107</v>
      </c>
      <c r="E836" s="44">
        <v>91.463831999999996</v>
      </c>
    </row>
    <row r="837" spans="1:5" x14ac:dyDescent="0.25">
      <c r="A837" s="3">
        <v>43132</v>
      </c>
      <c r="B837" s="2" t="s">
        <v>18</v>
      </c>
      <c r="C837" s="44">
        <v>388.09</v>
      </c>
      <c r="D837" s="45">
        <v>3</v>
      </c>
      <c r="E837" s="44">
        <v>129.36333300000001</v>
      </c>
    </row>
    <row r="838" spans="1:5" x14ac:dyDescent="0.25">
      <c r="A838" s="3">
        <v>43132</v>
      </c>
      <c r="B838" s="2" t="s">
        <v>19</v>
      </c>
      <c r="C838" s="44">
        <v>1033.7</v>
      </c>
      <c r="D838" s="45">
        <v>11</v>
      </c>
      <c r="E838" s="44">
        <v>93.972727000000006</v>
      </c>
    </row>
    <row r="839" spans="1:5" x14ac:dyDescent="0.25">
      <c r="A839" s="3">
        <v>43132</v>
      </c>
      <c r="B839" s="2" t="s">
        <v>39</v>
      </c>
      <c r="C839" s="44">
        <v>399.3</v>
      </c>
      <c r="D839" s="45">
        <v>7</v>
      </c>
      <c r="E839" s="44">
        <v>57.042856999999998</v>
      </c>
    </row>
    <row r="840" spans="1:5" x14ac:dyDescent="0.25">
      <c r="A840" s="3">
        <v>43132</v>
      </c>
      <c r="B840" s="2" t="s">
        <v>20</v>
      </c>
      <c r="C840" s="44">
        <v>4738.68</v>
      </c>
      <c r="D840" s="45">
        <v>11</v>
      </c>
      <c r="E840" s="44">
        <v>430.78909099999998</v>
      </c>
    </row>
    <row r="841" spans="1:5" x14ac:dyDescent="0.25">
      <c r="A841" s="3">
        <v>43132</v>
      </c>
      <c r="B841" s="2" t="s">
        <v>77</v>
      </c>
      <c r="C841" s="44">
        <v>134.47999999999999</v>
      </c>
      <c r="D841" s="45">
        <v>4</v>
      </c>
      <c r="E841" s="44">
        <v>33.619999999999997</v>
      </c>
    </row>
    <row r="842" spans="1:5" x14ac:dyDescent="0.25">
      <c r="A842" s="3">
        <v>43132</v>
      </c>
      <c r="B842" s="2" t="s">
        <v>21</v>
      </c>
      <c r="C842" s="44">
        <v>1783.52</v>
      </c>
      <c r="D842" s="45">
        <v>38</v>
      </c>
      <c r="E842" s="44">
        <v>46.934736999999998</v>
      </c>
    </row>
    <row r="843" spans="1:5" x14ac:dyDescent="0.25">
      <c r="A843" s="3">
        <v>43132</v>
      </c>
      <c r="B843" s="2" t="s">
        <v>63</v>
      </c>
      <c r="C843" s="44">
        <v>1018.3</v>
      </c>
      <c r="D843" s="45">
        <v>23</v>
      </c>
      <c r="E843" s="44">
        <v>44.273913</v>
      </c>
    </row>
    <row r="844" spans="1:5" x14ac:dyDescent="0.25">
      <c r="A844" s="3">
        <v>43132</v>
      </c>
      <c r="B844" s="2" t="s">
        <v>40</v>
      </c>
      <c r="C844" s="44">
        <v>895.8</v>
      </c>
      <c r="D844" s="45">
        <v>7</v>
      </c>
      <c r="E844" s="44">
        <v>127.971429</v>
      </c>
    </row>
    <row r="845" spans="1:5" x14ac:dyDescent="0.25">
      <c r="A845" s="3">
        <v>43132</v>
      </c>
      <c r="B845" s="2" t="s">
        <v>22</v>
      </c>
      <c r="C845" s="44">
        <v>38002.36</v>
      </c>
      <c r="D845" s="45">
        <v>422</v>
      </c>
      <c r="E845" s="44">
        <v>90.052986000000004</v>
      </c>
    </row>
    <row r="846" spans="1:5" x14ac:dyDescent="0.25">
      <c r="A846" s="3">
        <v>43132</v>
      </c>
      <c r="B846" s="2" t="s">
        <v>41</v>
      </c>
      <c r="C846" s="44">
        <v>4402.78</v>
      </c>
      <c r="D846" s="45">
        <v>26</v>
      </c>
      <c r="E846" s="44">
        <v>169.337692</v>
      </c>
    </row>
    <row r="847" spans="1:5" x14ac:dyDescent="0.25">
      <c r="A847" s="3">
        <v>43132</v>
      </c>
      <c r="B847" s="2" t="s">
        <v>68</v>
      </c>
      <c r="C847" s="44">
        <v>344.7</v>
      </c>
      <c r="D847" s="45">
        <v>5</v>
      </c>
      <c r="E847" s="44">
        <v>68.94</v>
      </c>
    </row>
    <row r="848" spans="1:5" x14ac:dyDescent="0.25">
      <c r="A848" s="3">
        <v>43132</v>
      </c>
      <c r="B848" s="2" t="s">
        <v>23</v>
      </c>
      <c r="C848" s="44">
        <v>26489.13</v>
      </c>
      <c r="D848" s="45">
        <v>293</v>
      </c>
      <c r="E848" s="44">
        <v>90.406587000000002</v>
      </c>
    </row>
    <row r="849" spans="1:5" x14ac:dyDescent="0.25">
      <c r="A849" s="3">
        <v>43132</v>
      </c>
      <c r="B849" s="2" t="s">
        <v>5</v>
      </c>
      <c r="C849" s="44">
        <v>84576.55</v>
      </c>
      <c r="D849" s="45">
        <v>650</v>
      </c>
      <c r="E849" s="44">
        <v>130.11776900000001</v>
      </c>
    </row>
    <row r="850" spans="1:5" x14ac:dyDescent="0.25">
      <c r="A850" s="3">
        <v>43132</v>
      </c>
      <c r="B850" s="2" t="s">
        <v>56</v>
      </c>
      <c r="C850" s="44">
        <v>5542.45</v>
      </c>
      <c r="D850" s="45">
        <v>48</v>
      </c>
      <c r="E850" s="44">
        <v>115.467708</v>
      </c>
    </row>
    <row r="851" spans="1:5" x14ac:dyDescent="0.25">
      <c r="A851" s="3">
        <v>43132</v>
      </c>
      <c r="B851" s="2" t="s">
        <v>42</v>
      </c>
      <c r="C851" s="44">
        <v>8998.83</v>
      </c>
      <c r="D851" s="45">
        <v>21</v>
      </c>
      <c r="E851" s="44">
        <v>428.515714</v>
      </c>
    </row>
    <row r="852" spans="1:5" x14ac:dyDescent="0.25">
      <c r="A852" s="3">
        <v>43132</v>
      </c>
      <c r="B852" s="2" t="s">
        <v>43</v>
      </c>
      <c r="C852" s="44">
        <v>38.700000000000003</v>
      </c>
      <c r="D852" s="45">
        <v>3</v>
      </c>
      <c r="E852" s="44">
        <v>12.9</v>
      </c>
    </row>
    <row r="853" spans="1:5" x14ac:dyDescent="0.25">
      <c r="A853" s="3">
        <v>43132</v>
      </c>
      <c r="B853" s="2" t="s">
        <v>57</v>
      </c>
      <c r="C853" s="44">
        <v>3012.76</v>
      </c>
      <c r="D853" s="45">
        <v>21</v>
      </c>
      <c r="E853" s="44">
        <v>143.46476200000001</v>
      </c>
    </row>
    <row r="854" spans="1:5" x14ac:dyDescent="0.25">
      <c r="A854" s="3">
        <v>43132</v>
      </c>
      <c r="B854" s="2" t="s">
        <v>58</v>
      </c>
      <c r="C854" s="44">
        <v>5225.8999999999996</v>
      </c>
      <c r="D854" s="45">
        <v>38</v>
      </c>
      <c r="E854" s="44">
        <v>137.523684</v>
      </c>
    </row>
    <row r="855" spans="1:5" x14ac:dyDescent="0.25">
      <c r="A855" s="3">
        <v>43132</v>
      </c>
      <c r="B855" s="2" t="s">
        <v>24</v>
      </c>
      <c r="C855" s="44">
        <v>34877.47</v>
      </c>
      <c r="D855" s="45">
        <v>391</v>
      </c>
      <c r="E855" s="44">
        <v>89.200691000000006</v>
      </c>
    </row>
    <row r="856" spans="1:5" x14ac:dyDescent="0.25">
      <c r="A856" s="3">
        <v>43132</v>
      </c>
      <c r="B856" s="2" t="s">
        <v>25</v>
      </c>
      <c r="C856" s="44">
        <v>4735.59</v>
      </c>
      <c r="D856" s="45">
        <v>37</v>
      </c>
      <c r="E856" s="44">
        <v>127.988919</v>
      </c>
    </row>
    <row r="857" spans="1:5" x14ac:dyDescent="0.25">
      <c r="A857" s="3">
        <v>43132</v>
      </c>
      <c r="B857" s="2" t="s">
        <v>44</v>
      </c>
      <c r="C857" s="44">
        <v>4621.16</v>
      </c>
      <c r="D857" s="45">
        <v>19</v>
      </c>
      <c r="E857" s="44">
        <v>243.21894700000001</v>
      </c>
    </row>
    <row r="858" spans="1:5" x14ac:dyDescent="0.25">
      <c r="A858" s="3">
        <v>43132</v>
      </c>
      <c r="B858" s="2" t="s">
        <v>45</v>
      </c>
      <c r="C858" s="44">
        <v>6423.55</v>
      </c>
      <c r="D858" s="45">
        <v>45</v>
      </c>
      <c r="E858" s="44">
        <v>142.74555599999999</v>
      </c>
    </row>
    <row r="859" spans="1:5" x14ac:dyDescent="0.25">
      <c r="A859" s="3">
        <v>43132</v>
      </c>
      <c r="B859" s="2" t="s">
        <v>26</v>
      </c>
      <c r="C859" s="44">
        <v>1920.92</v>
      </c>
      <c r="D859" s="45">
        <v>28</v>
      </c>
      <c r="E859" s="44">
        <v>68.604286000000002</v>
      </c>
    </row>
    <row r="860" spans="1:5" x14ac:dyDescent="0.25">
      <c r="A860" s="3">
        <v>43132</v>
      </c>
      <c r="B860" s="2" t="s">
        <v>46</v>
      </c>
      <c r="C860" s="44">
        <v>244.97</v>
      </c>
      <c r="D860" s="45">
        <v>2</v>
      </c>
      <c r="E860" s="44">
        <v>122.485</v>
      </c>
    </row>
    <row r="861" spans="1:5" x14ac:dyDescent="0.25">
      <c r="A861" s="3">
        <v>43132</v>
      </c>
      <c r="B861" s="2" t="s">
        <v>47</v>
      </c>
      <c r="C861" s="44">
        <v>9015.73</v>
      </c>
      <c r="D861" s="45">
        <v>44</v>
      </c>
      <c r="E861" s="44">
        <v>204.90295499999999</v>
      </c>
    </row>
    <row r="862" spans="1:5" x14ac:dyDescent="0.25">
      <c r="A862" s="3">
        <v>43132</v>
      </c>
      <c r="B862" s="2" t="s">
        <v>27</v>
      </c>
      <c r="C862" s="44">
        <v>17287.89</v>
      </c>
      <c r="D862" s="45">
        <v>107</v>
      </c>
      <c r="E862" s="44">
        <v>161.56906499999999</v>
      </c>
    </row>
    <row r="863" spans="1:5" x14ac:dyDescent="0.25">
      <c r="A863" s="3">
        <v>43132</v>
      </c>
      <c r="B863" s="2" t="s">
        <v>70</v>
      </c>
      <c r="C863" s="44">
        <v>129.99</v>
      </c>
      <c r="D863" s="45">
        <v>1</v>
      </c>
      <c r="E863" s="44">
        <v>129.99</v>
      </c>
    </row>
    <row r="864" spans="1:5" x14ac:dyDescent="0.25">
      <c r="A864" s="3">
        <v>43132</v>
      </c>
      <c r="B864" s="2" t="s">
        <v>28</v>
      </c>
      <c r="C864" s="44">
        <v>20372</v>
      </c>
      <c r="D864" s="45">
        <v>211</v>
      </c>
      <c r="E864" s="44">
        <v>96.549762999999999</v>
      </c>
    </row>
    <row r="865" spans="1:5" x14ac:dyDescent="0.25">
      <c r="A865" s="3">
        <v>43132</v>
      </c>
      <c r="B865" s="2" t="s">
        <v>29</v>
      </c>
      <c r="C865" s="44">
        <v>9218.24</v>
      </c>
      <c r="D865" s="45">
        <v>99</v>
      </c>
      <c r="E865" s="44">
        <v>93.113534999999999</v>
      </c>
    </row>
    <row r="866" spans="1:5" x14ac:dyDescent="0.25">
      <c r="A866" s="3">
        <v>43132</v>
      </c>
      <c r="B866" s="2" t="s">
        <v>64</v>
      </c>
      <c r="C866" s="44">
        <v>715.79</v>
      </c>
      <c r="D866" s="45">
        <v>15</v>
      </c>
      <c r="E866" s="44">
        <v>47.719332999999999</v>
      </c>
    </row>
    <row r="867" spans="1:5" x14ac:dyDescent="0.25">
      <c r="A867" s="3">
        <v>43132</v>
      </c>
      <c r="B867" s="2" t="s">
        <v>49</v>
      </c>
      <c r="C867" s="44">
        <v>5245.16</v>
      </c>
      <c r="D867" s="45">
        <v>32</v>
      </c>
      <c r="E867" s="44">
        <v>163.91125</v>
      </c>
    </row>
    <row r="868" spans="1:5" x14ac:dyDescent="0.25">
      <c r="A868" s="3">
        <v>43132</v>
      </c>
      <c r="B868" s="2" t="s">
        <v>73</v>
      </c>
      <c r="C868" s="44">
        <v>3024.9</v>
      </c>
      <c r="D868" s="45">
        <v>5</v>
      </c>
      <c r="E868" s="44">
        <v>604.98</v>
      </c>
    </row>
    <row r="869" spans="1:5" x14ac:dyDescent="0.25">
      <c r="A869" s="3">
        <v>43132</v>
      </c>
      <c r="B869" s="2" t="s">
        <v>30</v>
      </c>
      <c r="C869" s="44">
        <v>74540.95</v>
      </c>
      <c r="D869" s="45">
        <v>637</v>
      </c>
      <c r="E869" s="44">
        <v>117.01876</v>
      </c>
    </row>
    <row r="870" spans="1:5" x14ac:dyDescent="0.25">
      <c r="A870" s="3">
        <v>43132</v>
      </c>
      <c r="B870" s="2" t="s">
        <v>50</v>
      </c>
      <c r="C870" s="44">
        <v>10090.530000000001</v>
      </c>
      <c r="D870" s="45">
        <v>145</v>
      </c>
      <c r="E870" s="44">
        <v>69.589861999999997</v>
      </c>
    </row>
    <row r="871" spans="1:5" x14ac:dyDescent="0.25">
      <c r="A871" s="3">
        <v>43132</v>
      </c>
      <c r="B871" s="2" t="s">
        <v>59</v>
      </c>
      <c r="C871" s="44">
        <v>694.97</v>
      </c>
      <c r="D871" s="45">
        <v>13</v>
      </c>
      <c r="E871" s="44">
        <v>53.459231000000003</v>
      </c>
    </row>
    <row r="872" spans="1:5" x14ac:dyDescent="0.25">
      <c r="A872" s="3">
        <v>43132</v>
      </c>
      <c r="B872" s="2" t="s">
        <v>31</v>
      </c>
      <c r="C872" s="44">
        <v>13672.38</v>
      </c>
      <c r="D872" s="45">
        <v>354</v>
      </c>
      <c r="E872" s="44">
        <v>38.622542000000003</v>
      </c>
    </row>
    <row r="873" spans="1:5" x14ac:dyDescent="0.25">
      <c r="A873" s="3">
        <v>43132</v>
      </c>
      <c r="B873" s="2" t="s">
        <v>32</v>
      </c>
      <c r="C873" s="44">
        <v>14203.35</v>
      </c>
      <c r="D873" s="45">
        <v>139</v>
      </c>
      <c r="E873" s="44">
        <v>102.182374</v>
      </c>
    </row>
    <row r="874" spans="1:5" x14ac:dyDescent="0.25">
      <c r="A874" s="3">
        <v>43132</v>
      </c>
      <c r="B874" s="2" t="s">
        <v>33</v>
      </c>
      <c r="C874" s="44">
        <v>12691.97</v>
      </c>
      <c r="D874" s="45">
        <v>117</v>
      </c>
      <c r="E874" s="44">
        <v>108.478376</v>
      </c>
    </row>
    <row r="875" spans="1:5" x14ac:dyDescent="0.25">
      <c r="A875" s="3">
        <v>43132</v>
      </c>
      <c r="B875" s="2" t="s">
        <v>34</v>
      </c>
      <c r="C875" s="44">
        <v>60725.31</v>
      </c>
      <c r="D875" s="45">
        <v>324</v>
      </c>
      <c r="E875" s="44">
        <v>187.42379600000001</v>
      </c>
    </row>
    <row r="876" spans="1:5" x14ac:dyDescent="0.25">
      <c r="A876" s="3">
        <v>43160</v>
      </c>
      <c r="B876" s="2" t="s">
        <v>35</v>
      </c>
      <c r="C876" s="44">
        <v>5161</v>
      </c>
      <c r="D876" s="45">
        <v>26</v>
      </c>
      <c r="E876" s="44">
        <v>198.5</v>
      </c>
    </row>
    <row r="877" spans="1:5" x14ac:dyDescent="0.25">
      <c r="A877" s="3">
        <v>43160</v>
      </c>
      <c r="B877" s="2" t="s">
        <v>6</v>
      </c>
      <c r="C877" s="44">
        <v>2507.6799999999998</v>
      </c>
      <c r="D877" s="45">
        <v>24</v>
      </c>
      <c r="E877" s="44">
        <v>104.486667</v>
      </c>
    </row>
    <row r="878" spans="1:5" x14ac:dyDescent="0.25">
      <c r="A878" s="3">
        <v>43160</v>
      </c>
      <c r="B878" s="2" t="s">
        <v>60</v>
      </c>
      <c r="C878" s="44">
        <v>461.5</v>
      </c>
      <c r="D878" s="45">
        <v>7</v>
      </c>
      <c r="E878" s="44">
        <v>65.928571000000005</v>
      </c>
    </row>
    <row r="879" spans="1:5" x14ac:dyDescent="0.25">
      <c r="A879" s="3">
        <v>43160</v>
      </c>
      <c r="B879" s="2" t="s">
        <v>7</v>
      </c>
      <c r="C879" s="44">
        <v>10606.69</v>
      </c>
      <c r="D879" s="45">
        <v>34</v>
      </c>
      <c r="E879" s="44">
        <v>311.96147100000002</v>
      </c>
    </row>
    <row r="880" spans="1:5" x14ac:dyDescent="0.25">
      <c r="A880" s="3">
        <v>43160</v>
      </c>
      <c r="B880" s="2" t="s">
        <v>8</v>
      </c>
      <c r="C880" s="44">
        <v>44081.96</v>
      </c>
      <c r="D880" s="45">
        <v>336</v>
      </c>
      <c r="E880" s="44">
        <v>131.19631000000001</v>
      </c>
    </row>
    <row r="881" spans="1:5" x14ac:dyDescent="0.25">
      <c r="A881" s="3">
        <v>43160</v>
      </c>
      <c r="B881" s="2" t="s">
        <v>9</v>
      </c>
      <c r="C881" s="44">
        <v>40818.75</v>
      </c>
      <c r="D881" s="45">
        <v>215</v>
      </c>
      <c r="E881" s="44">
        <v>189.85465099999999</v>
      </c>
    </row>
    <row r="882" spans="1:5" x14ac:dyDescent="0.25">
      <c r="A882" s="3">
        <v>43160</v>
      </c>
      <c r="B882" s="2" t="s">
        <v>10</v>
      </c>
      <c r="C882" s="44">
        <v>67786.350000000006</v>
      </c>
      <c r="D882" s="45">
        <v>777</v>
      </c>
      <c r="E882" s="44">
        <v>87.241119999999995</v>
      </c>
    </row>
    <row r="883" spans="1:5" x14ac:dyDescent="0.25">
      <c r="A883" s="3">
        <v>43160</v>
      </c>
      <c r="B883" s="2" t="s">
        <v>36</v>
      </c>
      <c r="C883" s="44">
        <v>1691.94</v>
      </c>
      <c r="D883" s="45">
        <v>38</v>
      </c>
      <c r="E883" s="44">
        <v>44.524737000000002</v>
      </c>
    </row>
    <row r="884" spans="1:5" x14ac:dyDescent="0.25">
      <c r="A884" s="3">
        <v>43160</v>
      </c>
      <c r="B884" s="2" t="s">
        <v>65</v>
      </c>
      <c r="C884" s="44">
        <v>259</v>
      </c>
      <c r="D884" s="45">
        <v>3</v>
      </c>
      <c r="E884" s="44">
        <v>86.333332999999996</v>
      </c>
    </row>
    <row r="885" spans="1:5" x14ac:dyDescent="0.25">
      <c r="A885" s="3">
        <v>43160</v>
      </c>
      <c r="B885" s="2" t="s">
        <v>51</v>
      </c>
      <c r="C885" s="44">
        <v>913.47</v>
      </c>
      <c r="D885" s="45">
        <v>17</v>
      </c>
      <c r="E885" s="44">
        <v>53.733528999999997</v>
      </c>
    </row>
    <row r="886" spans="1:5" x14ac:dyDescent="0.25">
      <c r="A886" s="3">
        <v>43160</v>
      </c>
      <c r="B886" s="2" t="s">
        <v>66</v>
      </c>
      <c r="C886" s="44">
        <v>854.95</v>
      </c>
      <c r="D886" s="45">
        <v>12</v>
      </c>
      <c r="E886" s="44">
        <v>71.245833000000005</v>
      </c>
    </row>
    <row r="887" spans="1:5" x14ac:dyDescent="0.25">
      <c r="A887" s="3">
        <v>43160</v>
      </c>
      <c r="B887" s="2" t="s">
        <v>52</v>
      </c>
      <c r="C887" s="44">
        <v>711.79</v>
      </c>
      <c r="D887" s="45">
        <v>7</v>
      </c>
      <c r="E887" s="44">
        <v>101.684286</v>
      </c>
    </row>
    <row r="888" spans="1:5" x14ac:dyDescent="0.25">
      <c r="A888" s="3">
        <v>43160</v>
      </c>
      <c r="B888" s="2" t="s">
        <v>11</v>
      </c>
      <c r="C888" s="44">
        <v>84708.39</v>
      </c>
      <c r="D888" s="45">
        <v>750</v>
      </c>
      <c r="E888" s="44">
        <v>112.94452</v>
      </c>
    </row>
    <row r="889" spans="1:5" x14ac:dyDescent="0.25">
      <c r="A889" s="3">
        <v>43160</v>
      </c>
      <c r="B889" s="2" t="s">
        <v>12</v>
      </c>
      <c r="C889" s="44">
        <v>11826.22</v>
      </c>
      <c r="D889" s="45">
        <v>57</v>
      </c>
      <c r="E889" s="44">
        <v>207.47754399999999</v>
      </c>
    </row>
    <row r="890" spans="1:5" x14ac:dyDescent="0.25">
      <c r="A890" s="3">
        <v>43160</v>
      </c>
      <c r="B890" s="2" t="s">
        <v>53</v>
      </c>
      <c r="C890" s="44">
        <v>9446.58</v>
      </c>
      <c r="D890" s="45">
        <v>66</v>
      </c>
      <c r="E890" s="44">
        <v>143.13</v>
      </c>
    </row>
    <row r="891" spans="1:5" x14ac:dyDescent="0.25">
      <c r="A891" s="3">
        <v>43160</v>
      </c>
      <c r="B891" s="2" t="s">
        <v>75</v>
      </c>
      <c r="C891" s="44">
        <v>2536.6999999999998</v>
      </c>
      <c r="D891" s="45">
        <v>13</v>
      </c>
      <c r="E891" s="44">
        <v>195.13076899999999</v>
      </c>
    </row>
    <row r="892" spans="1:5" x14ac:dyDescent="0.25">
      <c r="A892" s="3">
        <v>43160</v>
      </c>
      <c r="B892" s="2" t="s">
        <v>54</v>
      </c>
      <c r="C892" s="44">
        <v>5374.87</v>
      </c>
      <c r="D892" s="45">
        <v>22</v>
      </c>
      <c r="E892" s="44">
        <v>244.312273</v>
      </c>
    </row>
    <row r="893" spans="1:5" x14ac:dyDescent="0.25">
      <c r="A893" s="3">
        <v>43160</v>
      </c>
      <c r="B893" s="2" t="s">
        <v>13</v>
      </c>
      <c r="C893" s="44">
        <v>37791.24</v>
      </c>
      <c r="D893" s="45">
        <v>253</v>
      </c>
      <c r="E893" s="44">
        <v>149.37249</v>
      </c>
    </row>
    <row r="894" spans="1:5" x14ac:dyDescent="0.25">
      <c r="A894" s="3">
        <v>43160</v>
      </c>
      <c r="B894" s="2" t="s">
        <v>55</v>
      </c>
      <c r="C894" s="44">
        <v>2087.23</v>
      </c>
      <c r="D894" s="45">
        <v>22</v>
      </c>
      <c r="E894" s="44">
        <v>94.874091000000007</v>
      </c>
    </row>
    <row r="895" spans="1:5" x14ac:dyDescent="0.25">
      <c r="A895" s="3">
        <v>43160</v>
      </c>
      <c r="B895" s="2" t="s">
        <v>67</v>
      </c>
      <c r="C895" s="44">
        <v>931.3</v>
      </c>
      <c r="D895" s="45">
        <v>9</v>
      </c>
      <c r="E895" s="44">
        <v>103.477778</v>
      </c>
    </row>
    <row r="896" spans="1:5" x14ac:dyDescent="0.25">
      <c r="A896" s="3">
        <v>43160</v>
      </c>
      <c r="B896" s="2" t="s">
        <v>14</v>
      </c>
      <c r="C896" s="44">
        <v>125</v>
      </c>
      <c r="D896" s="45">
        <v>5</v>
      </c>
      <c r="E896" s="44">
        <v>25</v>
      </c>
    </row>
    <row r="897" spans="1:5" x14ac:dyDescent="0.25">
      <c r="A897" s="3">
        <v>43160</v>
      </c>
      <c r="B897" s="2" t="s">
        <v>61</v>
      </c>
      <c r="C897" s="44">
        <v>962.7</v>
      </c>
      <c r="D897" s="45">
        <v>21</v>
      </c>
      <c r="E897" s="44">
        <v>45.842857000000002</v>
      </c>
    </row>
    <row r="898" spans="1:5" x14ac:dyDescent="0.25">
      <c r="A898" s="3">
        <v>43160</v>
      </c>
      <c r="B898" s="2" t="s">
        <v>38</v>
      </c>
      <c r="C898" s="44">
        <v>49.8</v>
      </c>
      <c r="D898" s="45">
        <v>2</v>
      </c>
      <c r="E898" s="44">
        <v>24.9</v>
      </c>
    </row>
    <row r="899" spans="1:5" x14ac:dyDescent="0.25">
      <c r="A899" s="3">
        <v>43160</v>
      </c>
      <c r="B899" s="2" t="s">
        <v>15</v>
      </c>
      <c r="C899" s="44">
        <v>12394.51</v>
      </c>
      <c r="D899" s="45">
        <v>254</v>
      </c>
      <c r="E899" s="44">
        <v>48.797283</v>
      </c>
    </row>
    <row r="900" spans="1:5" x14ac:dyDescent="0.25">
      <c r="A900" s="3">
        <v>43160</v>
      </c>
      <c r="B900" s="2" t="s">
        <v>16</v>
      </c>
      <c r="C900" s="44">
        <v>119.96</v>
      </c>
      <c r="D900" s="45">
        <v>4</v>
      </c>
      <c r="E900" s="44">
        <v>29.99</v>
      </c>
    </row>
    <row r="901" spans="1:5" x14ac:dyDescent="0.25">
      <c r="A901" s="3">
        <v>43160</v>
      </c>
      <c r="B901" s="2" t="s">
        <v>17</v>
      </c>
      <c r="C901" s="44">
        <v>10096.51</v>
      </c>
      <c r="D901" s="45">
        <v>137</v>
      </c>
      <c r="E901" s="44">
        <v>73.697153</v>
      </c>
    </row>
    <row r="902" spans="1:5" x14ac:dyDescent="0.25">
      <c r="A902" s="3">
        <v>43160</v>
      </c>
      <c r="B902" s="2" t="s">
        <v>72</v>
      </c>
      <c r="C902" s="44">
        <v>79.98</v>
      </c>
      <c r="D902" s="45">
        <v>2</v>
      </c>
      <c r="E902" s="44">
        <v>39.99</v>
      </c>
    </row>
    <row r="903" spans="1:5" x14ac:dyDescent="0.25">
      <c r="A903" s="3">
        <v>43160</v>
      </c>
      <c r="B903" s="2" t="s">
        <v>19</v>
      </c>
      <c r="C903" s="44">
        <v>1053.0999999999999</v>
      </c>
      <c r="D903" s="45">
        <v>11</v>
      </c>
      <c r="E903" s="44">
        <v>95.736363999999995</v>
      </c>
    </row>
    <row r="904" spans="1:5" x14ac:dyDescent="0.25">
      <c r="A904" s="3">
        <v>43160</v>
      </c>
      <c r="B904" s="2" t="s">
        <v>62</v>
      </c>
      <c r="C904" s="44">
        <v>89.9</v>
      </c>
      <c r="D904" s="45">
        <v>1</v>
      </c>
      <c r="E904" s="44">
        <v>89.9</v>
      </c>
    </row>
    <row r="905" spans="1:5" x14ac:dyDescent="0.25">
      <c r="A905" s="3">
        <v>43160</v>
      </c>
      <c r="B905" s="2" t="s">
        <v>39</v>
      </c>
      <c r="C905" s="44">
        <v>289.39999999999998</v>
      </c>
      <c r="D905" s="45">
        <v>5</v>
      </c>
      <c r="E905" s="44">
        <v>57.88</v>
      </c>
    </row>
    <row r="906" spans="1:5" x14ac:dyDescent="0.25">
      <c r="A906" s="3">
        <v>43160</v>
      </c>
      <c r="B906" s="2" t="s">
        <v>20</v>
      </c>
      <c r="C906" s="44">
        <v>1930.59</v>
      </c>
      <c r="D906" s="45">
        <v>14</v>
      </c>
      <c r="E906" s="44">
        <v>137.89928599999999</v>
      </c>
    </row>
    <row r="907" spans="1:5" x14ac:dyDescent="0.25">
      <c r="A907" s="3">
        <v>43160</v>
      </c>
      <c r="B907" s="2" t="s">
        <v>77</v>
      </c>
      <c r="C907" s="44">
        <v>89.67</v>
      </c>
      <c r="D907" s="45">
        <v>3</v>
      </c>
      <c r="E907" s="44">
        <v>29.89</v>
      </c>
    </row>
    <row r="908" spans="1:5" x14ac:dyDescent="0.25">
      <c r="A908" s="3">
        <v>43160</v>
      </c>
      <c r="B908" s="2" t="s">
        <v>21</v>
      </c>
      <c r="C908" s="44">
        <v>1559.9</v>
      </c>
      <c r="D908" s="45">
        <v>35</v>
      </c>
      <c r="E908" s="44">
        <v>44.568570999999999</v>
      </c>
    </row>
    <row r="909" spans="1:5" x14ac:dyDescent="0.25">
      <c r="A909" s="3">
        <v>43160</v>
      </c>
      <c r="B909" s="2" t="s">
        <v>63</v>
      </c>
      <c r="C909" s="44">
        <v>2350.77</v>
      </c>
      <c r="D909" s="45">
        <v>19</v>
      </c>
      <c r="E909" s="44">
        <v>123.724737</v>
      </c>
    </row>
    <row r="910" spans="1:5" x14ac:dyDescent="0.25">
      <c r="A910" s="3">
        <v>43160</v>
      </c>
      <c r="B910" s="2" t="s">
        <v>40</v>
      </c>
      <c r="C910" s="44">
        <v>1071.8</v>
      </c>
      <c r="D910" s="45">
        <v>6</v>
      </c>
      <c r="E910" s="44">
        <v>178.63333299999999</v>
      </c>
    </row>
    <row r="911" spans="1:5" x14ac:dyDescent="0.25">
      <c r="A911" s="3">
        <v>43160</v>
      </c>
      <c r="B911" s="2" t="s">
        <v>22</v>
      </c>
      <c r="C911" s="44">
        <v>51319.97</v>
      </c>
      <c r="D911" s="45">
        <v>583</v>
      </c>
      <c r="E911" s="44">
        <v>88.027393000000004</v>
      </c>
    </row>
    <row r="912" spans="1:5" x14ac:dyDescent="0.25">
      <c r="A912" s="3">
        <v>43160</v>
      </c>
      <c r="B912" s="2" t="s">
        <v>41</v>
      </c>
      <c r="C912" s="44">
        <v>3521.87</v>
      </c>
      <c r="D912" s="45">
        <v>19</v>
      </c>
      <c r="E912" s="44">
        <v>185.36157900000001</v>
      </c>
    </row>
    <row r="913" spans="1:5" x14ac:dyDescent="0.25">
      <c r="A913" s="3">
        <v>43160</v>
      </c>
      <c r="B913" s="2" t="s">
        <v>68</v>
      </c>
      <c r="C913" s="44">
        <v>440</v>
      </c>
      <c r="D913" s="45">
        <v>4</v>
      </c>
      <c r="E913" s="44">
        <v>110</v>
      </c>
    </row>
    <row r="914" spans="1:5" x14ac:dyDescent="0.25">
      <c r="A914" s="3">
        <v>43160</v>
      </c>
      <c r="B914" s="2" t="s">
        <v>23</v>
      </c>
      <c r="C914" s="44">
        <v>26773.88</v>
      </c>
      <c r="D914" s="45">
        <v>253</v>
      </c>
      <c r="E914" s="44">
        <v>105.825613</v>
      </c>
    </row>
    <row r="915" spans="1:5" x14ac:dyDescent="0.25">
      <c r="A915" s="3">
        <v>43160</v>
      </c>
      <c r="B915" s="2" t="s">
        <v>5</v>
      </c>
      <c r="C915" s="44">
        <v>84488.57</v>
      </c>
      <c r="D915" s="45">
        <v>656</v>
      </c>
      <c r="E915" s="44">
        <v>128.79355200000001</v>
      </c>
    </row>
    <row r="916" spans="1:5" x14ac:dyDescent="0.25">
      <c r="A916" s="3">
        <v>43160</v>
      </c>
      <c r="B916" s="2" t="s">
        <v>56</v>
      </c>
      <c r="C916" s="44">
        <v>9876.59</v>
      </c>
      <c r="D916" s="45">
        <v>70</v>
      </c>
      <c r="E916" s="44">
        <v>141.094143</v>
      </c>
    </row>
    <row r="917" spans="1:5" x14ac:dyDescent="0.25">
      <c r="A917" s="3">
        <v>43160</v>
      </c>
      <c r="B917" s="2" t="s">
        <v>42</v>
      </c>
      <c r="C917" s="44">
        <v>5648.2</v>
      </c>
      <c r="D917" s="45">
        <v>12</v>
      </c>
      <c r="E917" s="44">
        <v>470.683333</v>
      </c>
    </row>
    <row r="918" spans="1:5" x14ac:dyDescent="0.25">
      <c r="A918" s="3">
        <v>43160</v>
      </c>
      <c r="B918" s="2" t="s">
        <v>43</v>
      </c>
      <c r="C918" s="44">
        <v>34.99</v>
      </c>
      <c r="D918" s="45">
        <v>1</v>
      </c>
      <c r="E918" s="44">
        <v>34.99</v>
      </c>
    </row>
    <row r="919" spans="1:5" x14ac:dyDescent="0.25">
      <c r="A919" s="3">
        <v>43160</v>
      </c>
      <c r="B919" s="2" t="s">
        <v>57</v>
      </c>
      <c r="C919" s="44">
        <v>2522.38</v>
      </c>
      <c r="D919" s="45">
        <v>21</v>
      </c>
      <c r="E919" s="44">
        <v>120.113333</v>
      </c>
    </row>
    <row r="920" spans="1:5" x14ac:dyDescent="0.25">
      <c r="A920" s="3">
        <v>43160</v>
      </c>
      <c r="B920" s="2" t="s">
        <v>58</v>
      </c>
      <c r="C920" s="44">
        <v>5250.51</v>
      </c>
      <c r="D920" s="45">
        <v>43</v>
      </c>
      <c r="E920" s="44">
        <v>122.104884</v>
      </c>
    </row>
    <row r="921" spans="1:5" x14ac:dyDescent="0.25">
      <c r="A921" s="3">
        <v>43160</v>
      </c>
      <c r="B921" s="2" t="s">
        <v>24</v>
      </c>
      <c r="C921" s="44">
        <v>35052.120000000003</v>
      </c>
      <c r="D921" s="45">
        <v>390</v>
      </c>
      <c r="E921" s="44">
        <v>89.877230999999995</v>
      </c>
    </row>
    <row r="922" spans="1:5" x14ac:dyDescent="0.25">
      <c r="A922" s="3">
        <v>43160</v>
      </c>
      <c r="B922" s="2" t="s">
        <v>25</v>
      </c>
      <c r="C922" s="44">
        <v>2922.45</v>
      </c>
      <c r="D922" s="45">
        <v>29</v>
      </c>
      <c r="E922" s="44">
        <v>100.77413799999999</v>
      </c>
    </row>
    <row r="923" spans="1:5" x14ac:dyDescent="0.25">
      <c r="A923" s="3">
        <v>43160</v>
      </c>
      <c r="B923" s="2" t="s">
        <v>44</v>
      </c>
      <c r="C923" s="44">
        <v>2842.66</v>
      </c>
      <c r="D923" s="45">
        <v>12</v>
      </c>
      <c r="E923" s="44">
        <v>236.88833299999999</v>
      </c>
    </row>
    <row r="924" spans="1:5" x14ac:dyDescent="0.25">
      <c r="A924" s="3">
        <v>43160</v>
      </c>
      <c r="B924" s="2" t="s">
        <v>69</v>
      </c>
      <c r="C924" s="44">
        <v>389</v>
      </c>
      <c r="D924" s="45">
        <v>1</v>
      </c>
      <c r="E924" s="44">
        <v>389</v>
      </c>
    </row>
    <row r="925" spans="1:5" x14ac:dyDescent="0.25">
      <c r="A925" s="3">
        <v>43160</v>
      </c>
      <c r="B925" s="2" t="s">
        <v>45</v>
      </c>
      <c r="C925" s="44">
        <v>5851.77</v>
      </c>
      <c r="D925" s="45">
        <v>56</v>
      </c>
      <c r="E925" s="44">
        <v>104.495893</v>
      </c>
    </row>
    <row r="926" spans="1:5" x14ac:dyDescent="0.25">
      <c r="A926" s="3">
        <v>43160</v>
      </c>
      <c r="B926" s="2" t="s">
        <v>26</v>
      </c>
      <c r="C926" s="44">
        <v>1548.74</v>
      </c>
      <c r="D926" s="45">
        <v>17</v>
      </c>
      <c r="E926" s="44">
        <v>91.102352999999994</v>
      </c>
    </row>
    <row r="927" spans="1:5" x14ac:dyDescent="0.25">
      <c r="A927" s="3">
        <v>43160</v>
      </c>
      <c r="B927" s="2" t="s">
        <v>46</v>
      </c>
      <c r="C927" s="44">
        <v>323.97000000000003</v>
      </c>
      <c r="D927" s="45">
        <v>2</v>
      </c>
      <c r="E927" s="44">
        <v>161.98500000000001</v>
      </c>
    </row>
    <row r="928" spans="1:5" x14ac:dyDescent="0.25">
      <c r="A928" s="3">
        <v>43160</v>
      </c>
      <c r="B928" s="2" t="s">
        <v>47</v>
      </c>
      <c r="C928" s="44">
        <v>8931.4</v>
      </c>
      <c r="D928" s="45">
        <v>53</v>
      </c>
      <c r="E928" s="44">
        <v>168.51698099999999</v>
      </c>
    </row>
    <row r="929" spans="1:5" x14ac:dyDescent="0.25">
      <c r="A929" s="3">
        <v>43160</v>
      </c>
      <c r="B929" s="2" t="s">
        <v>27</v>
      </c>
      <c r="C929" s="44">
        <v>30861.64</v>
      </c>
      <c r="D929" s="45">
        <v>200</v>
      </c>
      <c r="E929" s="44">
        <v>154.3082</v>
      </c>
    </row>
    <row r="930" spans="1:5" x14ac:dyDescent="0.25">
      <c r="A930" s="3">
        <v>43160</v>
      </c>
      <c r="B930" s="2" t="s">
        <v>76</v>
      </c>
      <c r="C930" s="44">
        <v>913.9</v>
      </c>
      <c r="D930" s="45">
        <v>6</v>
      </c>
      <c r="E930" s="44">
        <v>152.316667</v>
      </c>
    </row>
    <row r="931" spans="1:5" x14ac:dyDescent="0.25">
      <c r="A931" s="3">
        <v>43160</v>
      </c>
      <c r="B931" s="2" t="s">
        <v>28</v>
      </c>
      <c r="C931" s="44">
        <v>20081.88</v>
      </c>
      <c r="D931" s="45">
        <v>198</v>
      </c>
      <c r="E931" s="44">
        <v>101.423636</v>
      </c>
    </row>
    <row r="932" spans="1:5" x14ac:dyDescent="0.25">
      <c r="A932" s="3">
        <v>43160</v>
      </c>
      <c r="B932" s="2" t="s">
        <v>29</v>
      </c>
      <c r="C932" s="44">
        <v>13400.21</v>
      </c>
      <c r="D932" s="45">
        <v>122</v>
      </c>
      <c r="E932" s="44">
        <v>109.83778700000001</v>
      </c>
    </row>
    <row r="933" spans="1:5" x14ac:dyDescent="0.25">
      <c r="A933" s="3">
        <v>43160</v>
      </c>
      <c r="B933" s="2" t="s">
        <v>64</v>
      </c>
      <c r="C933" s="44">
        <v>921.9</v>
      </c>
      <c r="D933" s="45">
        <v>9</v>
      </c>
      <c r="E933" s="44">
        <v>102.433333</v>
      </c>
    </row>
    <row r="934" spans="1:5" x14ac:dyDescent="0.25">
      <c r="A934" s="3">
        <v>43160</v>
      </c>
      <c r="B934" s="2" t="s">
        <v>49</v>
      </c>
      <c r="C934" s="44">
        <v>13952.18</v>
      </c>
      <c r="D934" s="45">
        <v>35</v>
      </c>
      <c r="E934" s="44">
        <v>398.633714</v>
      </c>
    </row>
    <row r="935" spans="1:5" x14ac:dyDescent="0.25">
      <c r="A935" s="3">
        <v>43160</v>
      </c>
      <c r="B935" s="2" t="s">
        <v>73</v>
      </c>
      <c r="C935" s="44">
        <v>7890.9</v>
      </c>
      <c r="D935" s="45">
        <v>7</v>
      </c>
      <c r="E935" s="44">
        <v>1127.2714289999999</v>
      </c>
    </row>
    <row r="936" spans="1:5" x14ac:dyDescent="0.25">
      <c r="A936" s="3">
        <v>43160</v>
      </c>
      <c r="B936" s="2" t="s">
        <v>30</v>
      </c>
      <c r="C936" s="44">
        <v>81656.960000000006</v>
      </c>
      <c r="D936" s="45">
        <v>732</v>
      </c>
      <c r="E936" s="44">
        <v>111.553224</v>
      </c>
    </row>
    <row r="937" spans="1:5" x14ac:dyDescent="0.25">
      <c r="A937" s="3">
        <v>43160</v>
      </c>
      <c r="B937" s="2" t="s">
        <v>50</v>
      </c>
      <c r="C937" s="44">
        <v>12993.74</v>
      </c>
      <c r="D937" s="45">
        <v>163</v>
      </c>
      <c r="E937" s="44">
        <v>79.716195999999997</v>
      </c>
    </row>
    <row r="938" spans="1:5" x14ac:dyDescent="0.25">
      <c r="A938" s="3">
        <v>43160</v>
      </c>
      <c r="B938" s="2" t="s">
        <v>59</v>
      </c>
      <c r="C938" s="44">
        <v>259.29000000000002</v>
      </c>
      <c r="D938" s="45">
        <v>3</v>
      </c>
      <c r="E938" s="44">
        <v>86.43</v>
      </c>
    </row>
    <row r="939" spans="1:5" x14ac:dyDescent="0.25">
      <c r="A939" s="3">
        <v>43160</v>
      </c>
      <c r="B939" s="2" t="s">
        <v>31</v>
      </c>
      <c r="C939" s="44">
        <v>24759.43</v>
      </c>
      <c r="D939" s="45">
        <v>334</v>
      </c>
      <c r="E939" s="44">
        <v>74.130030000000005</v>
      </c>
    </row>
    <row r="940" spans="1:5" x14ac:dyDescent="0.25">
      <c r="A940" s="3">
        <v>43160</v>
      </c>
      <c r="B940" s="2" t="s">
        <v>32</v>
      </c>
      <c r="C940" s="44">
        <v>22817.55</v>
      </c>
      <c r="D940" s="45">
        <v>225</v>
      </c>
      <c r="E940" s="44">
        <v>101.411333</v>
      </c>
    </row>
    <row r="941" spans="1:5" x14ac:dyDescent="0.25">
      <c r="A941" s="3">
        <v>43160</v>
      </c>
      <c r="B941" s="2" t="s">
        <v>33</v>
      </c>
      <c r="C941" s="44">
        <v>16625.22</v>
      </c>
      <c r="D941" s="45">
        <v>133</v>
      </c>
      <c r="E941" s="44">
        <v>125.001654</v>
      </c>
    </row>
    <row r="942" spans="1:5" x14ac:dyDescent="0.25">
      <c r="A942" s="3">
        <v>43160</v>
      </c>
      <c r="B942" s="2" t="s">
        <v>34</v>
      </c>
      <c r="C942" s="44">
        <v>95661.18</v>
      </c>
      <c r="D942" s="45">
        <v>421</v>
      </c>
      <c r="E942" s="44">
        <v>227.223705</v>
      </c>
    </row>
    <row r="943" spans="1:5" x14ac:dyDescent="0.25">
      <c r="A943" s="3">
        <v>43191</v>
      </c>
      <c r="B943" s="2" t="s">
        <v>35</v>
      </c>
      <c r="C943" s="44">
        <v>4500.7</v>
      </c>
      <c r="D943" s="45">
        <v>12</v>
      </c>
      <c r="E943" s="44">
        <v>375.058333</v>
      </c>
    </row>
    <row r="944" spans="1:5" x14ac:dyDescent="0.25">
      <c r="A944" s="3">
        <v>43191</v>
      </c>
      <c r="B944" s="2" t="s">
        <v>6</v>
      </c>
      <c r="C944" s="44">
        <v>3261.79</v>
      </c>
      <c r="D944" s="45">
        <v>23</v>
      </c>
      <c r="E944" s="44">
        <v>141.816957</v>
      </c>
    </row>
    <row r="945" spans="1:5" x14ac:dyDescent="0.25">
      <c r="A945" s="3">
        <v>43191</v>
      </c>
      <c r="B945" s="2" t="s">
        <v>60</v>
      </c>
      <c r="C945" s="44">
        <v>2140.2800000000002</v>
      </c>
      <c r="D945" s="45">
        <v>26</v>
      </c>
      <c r="E945" s="44">
        <v>82.318461999999997</v>
      </c>
    </row>
    <row r="946" spans="1:5" x14ac:dyDescent="0.25">
      <c r="A946" s="3">
        <v>43191</v>
      </c>
      <c r="B946" s="2" t="s">
        <v>71</v>
      </c>
      <c r="C946" s="44">
        <v>15.99</v>
      </c>
      <c r="D946" s="45">
        <v>1</v>
      </c>
      <c r="E946" s="44">
        <v>15.99</v>
      </c>
    </row>
    <row r="947" spans="1:5" x14ac:dyDescent="0.25">
      <c r="A947" s="3">
        <v>43191</v>
      </c>
      <c r="B947" s="2" t="s">
        <v>7</v>
      </c>
      <c r="C947" s="44">
        <v>7045.07</v>
      </c>
      <c r="D947" s="45">
        <v>31</v>
      </c>
      <c r="E947" s="44">
        <v>227.260323</v>
      </c>
    </row>
    <row r="948" spans="1:5" x14ac:dyDescent="0.25">
      <c r="A948" s="3">
        <v>43191</v>
      </c>
      <c r="B948" s="2" t="s">
        <v>8</v>
      </c>
      <c r="C948" s="44">
        <v>47989.41</v>
      </c>
      <c r="D948" s="45">
        <v>348</v>
      </c>
      <c r="E948" s="44">
        <v>137.90060299999999</v>
      </c>
    </row>
    <row r="949" spans="1:5" x14ac:dyDescent="0.25">
      <c r="A949" s="3">
        <v>43191</v>
      </c>
      <c r="B949" s="2" t="s">
        <v>9</v>
      </c>
      <c r="C949" s="44">
        <v>47201.22</v>
      </c>
      <c r="D949" s="45">
        <v>237</v>
      </c>
      <c r="E949" s="44">
        <v>199.16126600000001</v>
      </c>
    </row>
    <row r="950" spans="1:5" x14ac:dyDescent="0.25">
      <c r="A950" s="3">
        <v>43191</v>
      </c>
      <c r="B950" s="2" t="s">
        <v>10</v>
      </c>
      <c r="C950" s="44">
        <v>71379.61</v>
      </c>
      <c r="D950" s="45">
        <v>736</v>
      </c>
      <c r="E950" s="44">
        <v>96.983165999999997</v>
      </c>
    </row>
    <row r="951" spans="1:5" x14ac:dyDescent="0.25">
      <c r="A951" s="3">
        <v>43191</v>
      </c>
      <c r="B951" s="2" t="s">
        <v>36</v>
      </c>
      <c r="C951" s="44">
        <v>6274.51</v>
      </c>
      <c r="D951" s="45">
        <v>49</v>
      </c>
      <c r="E951" s="44">
        <v>128.05122399999999</v>
      </c>
    </row>
    <row r="952" spans="1:5" x14ac:dyDescent="0.25">
      <c r="A952" s="3">
        <v>43191</v>
      </c>
      <c r="B952" s="2" t="s">
        <v>65</v>
      </c>
      <c r="C952" s="44">
        <v>317.99</v>
      </c>
      <c r="D952" s="45">
        <v>4</v>
      </c>
      <c r="E952" s="44">
        <v>79.497500000000002</v>
      </c>
    </row>
    <row r="953" spans="1:5" x14ac:dyDescent="0.25">
      <c r="A953" s="3">
        <v>43191</v>
      </c>
      <c r="B953" s="2" t="s">
        <v>51</v>
      </c>
      <c r="C953" s="44">
        <v>1172.0999999999999</v>
      </c>
      <c r="D953" s="45">
        <v>23</v>
      </c>
      <c r="E953" s="44">
        <v>50.96087</v>
      </c>
    </row>
    <row r="954" spans="1:5" x14ac:dyDescent="0.25">
      <c r="A954" s="3">
        <v>43191</v>
      </c>
      <c r="B954" s="2" t="s">
        <v>74</v>
      </c>
      <c r="C954" s="44">
        <v>65</v>
      </c>
      <c r="D954" s="45">
        <v>1</v>
      </c>
      <c r="E954" s="44">
        <v>65</v>
      </c>
    </row>
    <row r="955" spans="1:5" x14ac:dyDescent="0.25">
      <c r="A955" s="3">
        <v>43191</v>
      </c>
      <c r="B955" s="2" t="s">
        <v>66</v>
      </c>
      <c r="C955" s="44">
        <v>275.14999999999998</v>
      </c>
      <c r="D955" s="45">
        <v>12</v>
      </c>
      <c r="E955" s="44">
        <v>22.929167</v>
      </c>
    </row>
    <row r="956" spans="1:5" x14ac:dyDescent="0.25">
      <c r="A956" s="3">
        <v>43191</v>
      </c>
      <c r="B956" s="2" t="s">
        <v>52</v>
      </c>
      <c r="C956" s="44">
        <v>521.74</v>
      </c>
      <c r="D956" s="45">
        <v>5</v>
      </c>
      <c r="E956" s="44">
        <v>104.348</v>
      </c>
    </row>
    <row r="957" spans="1:5" x14ac:dyDescent="0.25">
      <c r="A957" s="3">
        <v>43191</v>
      </c>
      <c r="B957" s="2" t="s">
        <v>37</v>
      </c>
      <c r="C957" s="44">
        <v>13774.92</v>
      </c>
      <c r="D957" s="45">
        <v>15</v>
      </c>
      <c r="E957" s="44">
        <v>918.32799999999997</v>
      </c>
    </row>
    <row r="958" spans="1:5" x14ac:dyDescent="0.25">
      <c r="A958" s="3">
        <v>43191</v>
      </c>
      <c r="B958" s="2" t="s">
        <v>11</v>
      </c>
      <c r="C958" s="44">
        <v>57370.9</v>
      </c>
      <c r="D958" s="45">
        <v>526</v>
      </c>
      <c r="E958" s="44">
        <v>109.07015199999999</v>
      </c>
    </row>
    <row r="959" spans="1:5" x14ac:dyDescent="0.25">
      <c r="A959" s="3">
        <v>43191</v>
      </c>
      <c r="B959" s="2" t="s">
        <v>12</v>
      </c>
      <c r="C959" s="44">
        <v>5511.05</v>
      </c>
      <c r="D959" s="45">
        <v>40</v>
      </c>
      <c r="E959" s="44">
        <v>137.77625</v>
      </c>
    </row>
    <row r="960" spans="1:5" x14ac:dyDescent="0.25">
      <c r="A960" s="3">
        <v>43191</v>
      </c>
      <c r="B960" s="2" t="s">
        <v>53</v>
      </c>
      <c r="C960" s="44">
        <v>12933.83</v>
      </c>
      <c r="D960" s="45">
        <v>90</v>
      </c>
      <c r="E960" s="44">
        <v>143.70922200000001</v>
      </c>
    </row>
    <row r="961" spans="1:5" x14ac:dyDescent="0.25">
      <c r="A961" s="3">
        <v>43191</v>
      </c>
      <c r="B961" s="2" t="s">
        <v>75</v>
      </c>
      <c r="C961" s="44">
        <v>4962.67</v>
      </c>
      <c r="D961" s="45">
        <v>47</v>
      </c>
      <c r="E961" s="44">
        <v>105.588723</v>
      </c>
    </row>
    <row r="962" spans="1:5" x14ac:dyDescent="0.25">
      <c r="A962" s="3">
        <v>43191</v>
      </c>
      <c r="B962" s="2" t="s">
        <v>54</v>
      </c>
      <c r="C962" s="44">
        <v>2887.26</v>
      </c>
      <c r="D962" s="45">
        <v>24</v>
      </c>
      <c r="E962" s="44">
        <v>120.30249999999999</v>
      </c>
    </row>
    <row r="963" spans="1:5" x14ac:dyDescent="0.25">
      <c r="A963" s="3">
        <v>43191</v>
      </c>
      <c r="B963" s="2" t="s">
        <v>13</v>
      </c>
      <c r="C963" s="44">
        <v>35025.410000000003</v>
      </c>
      <c r="D963" s="45">
        <v>206</v>
      </c>
      <c r="E963" s="44">
        <v>170.026262</v>
      </c>
    </row>
    <row r="964" spans="1:5" x14ac:dyDescent="0.25">
      <c r="A964" s="3">
        <v>43191</v>
      </c>
      <c r="B964" s="2" t="s">
        <v>55</v>
      </c>
      <c r="C964" s="44">
        <v>1326.79</v>
      </c>
      <c r="D964" s="45">
        <v>18</v>
      </c>
      <c r="E964" s="44">
        <v>73.710555999999997</v>
      </c>
    </row>
    <row r="965" spans="1:5" x14ac:dyDescent="0.25">
      <c r="A965" s="3">
        <v>43191</v>
      </c>
      <c r="B965" s="2" t="s">
        <v>67</v>
      </c>
      <c r="C965" s="44">
        <v>1332.99</v>
      </c>
      <c r="D965" s="45">
        <v>17</v>
      </c>
      <c r="E965" s="44">
        <v>78.411175999999998</v>
      </c>
    </row>
    <row r="966" spans="1:5" x14ac:dyDescent="0.25">
      <c r="A966" s="3">
        <v>43191</v>
      </c>
      <c r="B966" s="2" t="s">
        <v>14</v>
      </c>
      <c r="C966" s="44">
        <v>149</v>
      </c>
      <c r="D966" s="45">
        <v>4</v>
      </c>
      <c r="E966" s="44">
        <v>37.25</v>
      </c>
    </row>
    <row r="967" spans="1:5" x14ac:dyDescent="0.25">
      <c r="A967" s="3">
        <v>43191</v>
      </c>
      <c r="B967" s="2" t="s">
        <v>61</v>
      </c>
      <c r="C967" s="44">
        <v>5016.4399999999996</v>
      </c>
      <c r="D967" s="45">
        <v>54</v>
      </c>
      <c r="E967" s="44">
        <v>92.897036999999997</v>
      </c>
    </row>
    <row r="968" spans="1:5" x14ac:dyDescent="0.25">
      <c r="A968" s="3">
        <v>43191</v>
      </c>
      <c r="B968" s="2" t="s">
        <v>38</v>
      </c>
      <c r="C968" s="44">
        <v>92.5</v>
      </c>
      <c r="D968" s="45">
        <v>5</v>
      </c>
      <c r="E968" s="44">
        <v>18.5</v>
      </c>
    </row>
    <row r="969" spans="1:5" x14ac:dyDescent="0.25">
      <c r="A969" s="3">
        <v>43191</v>
      </c>
      <c r="B969" s="2" t="s">
        <v>15</v>
      </c>
      <c r="C969" s="44">
        <v>10840.23</v>
      </c>
      <c r="D969" s="45">
        <v>212</v>
      </c>
      <c r="E969" s="44">
        <v>51.133159999999997</v>
      </c>
    </row>
    <row r="970" spans="1:5" x14ac:dyDescent="0.25">
      <c r="A970" s="3">
        <v>43191</v>
      </c>
      <c r="B970" s="2" t="s">
        <v>16</v>
      </c>
      <c r="C970" s="44">
        <v>174.95</v>
      </c>
      <c r="D970" s="45">
        <v>5</v>
      </c>
      <c r="E970" s="44">
        <v>34.99</v>
      </c>
    </row>
    <row r="971" spans="1:5" x14ac:dyDescent="0.25">
      <c r="A971" s="3">
        <v>43191</v>
      </c>
      <c r="B971" s="2" t="s">
        <v>17</v>
      </c>
      <c r="C971" s="44">
        <v>8218.85</v>
      </c>
      <c r="D971" s="45">
        <v>102</v>
      </c>
      <c r="E971" s="44">
        <v>80.576960999999997</v>
      </c>
    </row>
    <row r="972" spans="1:5" x14ac:dyDescent="0.25">
      <c r="A972" s="3">
        <v>43191</v>
      </c>
      <c r="B972" s="2" t="s">
        <v>18</v>
      </c>
      <c r="C972" s="44">
        <v>195</v>
      </c>
      <c r="D972" s="45">
        <v>1</v>
      </c>
      <c r="E972" s="44">
        <v>195</v>
      </c>
    </row>
    <row r="973" spans="1:5" x14ac:dyDescent="0.25">
      <c r="A973" s="3">
        <v>43191</v>
      </c>
      <c r="B973" s="2" t="s">
        <v>19</v>
      </c>
      <c r="C973" s="44">
        <v>1438.7</v>
      </c>
      <c r="D973" s="45">
        <v>11</v>
      </c>
      <c r="E973" s="44">
        <v>130.790909</v>
      </c>
    </row>
    <row r="974" spans="1:5" x14ac:dyDescent="0.25">
      <c r="A974" s="3">
        <v>43191</v>
      </c>
      <c r="B974" s="2" t="s">
        <v>62</v>
      </c>
      <c r="C974" s="44">
        <v>89.9</v>
      </c>
      <c r="D974" s="45">
        <v>1</v>
      </c>
      <c r="E974" s="44">
        <v>89.9</v>
      </c>
    </row>
    <row r="975" spans="1:5" x14ac:dyDescent="0.25">
      <c r="A975" s="3">
        <v>43191</v>
      </c>
      <c r="B975" s="2" t="s">
        <v>39</v>
      </c>
      <c r="C975" s="44">
        <v>359.4</v>
      </c>
      <c r="D975" s="45">
        <v>6</v>
      </c>
      <c r="E975" s="44">
        <v>59.9</v>
      </c>
    </row>
    <row r="976" spans="1:5" x14ac:dyDescent="0.25">
      <c r="A976" s="3">
        <v>43191</v>
      </c>
      <c r="B976" s="2" t="s">
        <v>20</v>
      </c>
      <c r="C976" s="44">
        <v>1921.94</v>
      </c>
      <c r="D976" s="45">
        <v>11</v>
      </c>
      <c r="E976" s="44">
        <v>174.72181800000001</v>
      </c>
    </row>
    <row r="977" spans="1:5" x14ac:dyDescent="0.25">
      <c r="A977" s="3">
        <v>43191</v>
      </c>
      <c r="B977" s="2" t="s">
        <v>77</v>
      </c>
      <c r="C977" s="44">
        <v>158.4</v>
      </c>
      <c r="D977" s="45">
        <v>3</v>
      </c>
      <c r="E977" s="44">
        <v>52.8</v>
      </c>
    </row>
    <row r="978" spans="1:5" x14ac:dyDescent="0.25">
      <c r="A978" s="3">
        <v>43191</v>
      </c>
      <c r="B978" s="2" t="s">
        <v>21</v>
      </c>
      <c r="C978" s="44">
        <v>1665.43</v>
      </c>
      <c r="D978" s="45">
        <v>40</v>
      </c>
      <c r="E978" s="44">
        <v>41.635750000000002</v>
      </c>
    </row>
    <row r="979" spans="1:5" x14ac:dyDescent="0.25">
      <c r="A979" s="3">
        <v>43191</v>
      </c>
      <c r="B979" s="2" t="s">
        <v>63</v>
      </c>
      <c r="C979" s="44">
        <v>605.07000000000005</v>
      </c>
      <c r="D979" s="45">
        <v>18</v>
      </c>
      <c r="E979" s="44">
        <v>33.615000000000002</v>
      </c>
    </row>
    <row r="980" spans="1:5" x14ac:dyDescent="0.25">
      <c r="A980" s="3">
        <v>43191</v>
      </c>
      <c r="B980" s="2" t="s">
        <v>40</v>
      </c>
      <c r="C980" s="44">
        <v>1301.9000000000001</v>
      </c>
      <c r="D980" s="45">
        <v>7</v>
      </c>
      <c r="E980" s="44">
        <v>185.985714</v>
      </c>
    </row>
    <row r="981" spans="1:5" x14ac:dyDescent="0.25">
      <c r="A981" s="3">
        <v>43191</v>
      </c>
      <c r="B981" s="2" t="s">
        <v>22</v>
      </c>
      <c r="C981" s="44">
        <v>56217.62</v>
      </c>
      <c r="D981" s="45">
        <v>586</v>
      </c>
      <c r="E981" s="44">
        <v>95.934505000000001</v>
      </c>
    </row>
    <row r="982" spans="1:5" x14ac:dyDescent="0.25">
      <c r="A982" s="3">
        <v>43191</v>
      </c>
      <c r="B982" s="2" t="s">
        <v>41</v>
      </c>
      <c r="C982" s="44">
        <v>5041.83</v>
      </c>
      <c r="D982" s="45">
        <v>33</v>
      </c>
      <c r="E982" s="44">
        <v>152.78272699999999</v>
      </c>
    </row>
    <row r="983" spans="1:5" x14ac:dyDescent="0.25">
      <c r="A983" s="3">
        <v>43191</v>
      </c>
      <c r="B983" s="2" t="s">
        <v>23</v>
      </c>
      <c r="C983" s="44">
        <v>34526.04</v>
      </c>
      <c r="D983" s="45">
        <v>282</v>
      </c>
      <c r="E983" s="44">
        <v>122.432766</v>
      </c>
    </row>
    <row r="984" spans="1:5" x14ac:dyDescent="0.25">
      <c r="A984" s="3">
        <v>43191</v>
      </c>
      <c r="B984" s="2" t="s">
        <v>5</v>
      </c>
      <c r="C984" s="44">
        <v>91058.45</v>
      </c>
      <c r="D984" s="45">
        <v>685</v>
      </c>
      <c r="E984" s="44">
        <v>132.93204399999999</v>
      </c>
    </row>
    <row r="985" spans="1:5" x14ac:dyDescent="0.25">
      <c r="A985" s="3">
        <v>43191</v>
      </c>
      <c r="B985" s="2" t="s">
        <v>56</v>
      </c>
      <c r="C985" s="44">
        <v>15019.63</v>
      </c>
      <c r="D985" s="45">
        <v>104</v>
      </c>
      <c r="E985" s="44">
        <v>144.41951900000001</v>
      </c>
    </row>
    <row r="986" spans="1:5" x14ac:dyDescent="0.25">
      <c r="A986" s="3">
        <v>43191</v>
      </c>
      <c r="B986" s="2" t="s">
        <v>42</v>
      </c>
      <c r="C986" s="44">
        <v>20741.689999999999</v>
      </c>
      <c r="D986" s="45">
        <v>23</v>
      </c>
      <c r="E986" s="44">
        <v>901.81260899999995</v>
      </c>
    </row>
    <row r="987" spans="1:5" x14ac:dyDescent="0.25">
      <c r="A987" s="3">
        <v>43191</v>
      </c>
      <c r="B987" s="2" t="s">
        <v>43</v>
      </c>
      <c r="C987" s="44">
        <v>12.9</v>
      </c>
      <c r="D987" s="45">
        <v>1</v>
      </c>
      <c r="E987" s="44">
        <v>12.9</v>
      </c>
    </row>
    <row r="988" spans="1:5" x14ac:dyDescent="0.25">
      <c r="A988" s="3">
        <v>43191</v>
      </c>
      <c r="B988" s="2" t="s">
        <v>57</v>
      </c>
      <c r="C988" s="44">
        <v>1939.4</v>
      </c>
      <c r="D988" s="45">
        <v>18</v>
      </c>
      <c r="E988" s="44">
        <v>107.744444</v>
      </c>
    </row>
    <row r="989" spans="1:5" x14ac:dyDescent="0.25">
      <c r="A989" s="3">
        <v>43191</v>
      </c>
      <c r="B989" s="2" t="s">
        <v>58</v>
      </c>
      <c r="C989" s="44">
        <v>9204.65</v>
      </c>
      <c r="D989" s="45">
        <v>75</v>
      </c>
      <c r="E989" s="44">
        <v>122.728667</v>
      </c>
    </row>
    <row r="990" spans="1:5" x14ac:dyDescent="0.25">
      <c r="A990" s="3">
        <v>43191</v>
      </c>
      <c r="B990" s="2" t="s">
        <v>24</v>
      </c>
      <c r="C990" s="44">
        <v>44363.29</v>
      </c>
      <c r="D990" s="45">
        <v>462</v>
      </c>
      <c r="E990" s="44">
        <v>96.024437000000006</v>
      </c>
    </row>
    <row r="991" spans="1:5" x14ac:dyDescent="0.25">
      <c r="A991" s="3">
        <v>43191</v>
      </c>
      <c r="B991" s="2" t="s">
        <v>25</v>
      </c>
      <c r="C991" s="44">
        <v>5690.61</v>
      </c>
      <c r="D991" s="45">
        <v>53</v>
      </c>
      <c r="E991" s="44">
        <v>107.37</v>
      </c>
    </row>
    <row r="992" spans="1:5" x14ac:dyDescent="0.25">
      <c r="A992" s="3">
        <v>43191</v>
      </c>
      <c r="B992" s="2" t="s">
        <v>44</v>
      </c>
      <c r="C992" s="44">
        <v>3110.57</v>
      </c>
      <c r="D992" s="45">
        <v>19</v>
      </c>
      <c r="E992" s="44">
        <v>163.71421100000001</v>
      </c>
    </row>
    <row r="993" spans="1:5" x14ac:dyDescent="0.25">
      <c r="A993" s="3">
        <v>43191</v>
      </c>
      <c r="B993" s="2" t="s">
        <v>69</v>
      </c>
      <c r="C993" s="44">
        <v>280</v>
      </c>
      <c r="D993" s="45">
        <v>2</v>
      </c>
      <c r="E993" s="44">
        <v>140</v>
      </c>
    </row>
    <row r="994" spans="1:5" x14ac:dyDescent="0.25">
      <c r="A994" s="3">
        <v>43191</v>
      </c>
      <c r="B994" s="2" t="s">
        <v>45</v>
      </c>
      <c r="C994" s="44">
        <v>8680.48</v>
      </c>
      <c r="D994" s="45">
        <v>57</v>
      </c>
      <c r="E994" s="44">
        <v>152.28912299999999</v>
      </c>
    </row>
    <row r="995" spans="1:5" x14ac:dyDescent="0.25">
      <c r="A995" s="3">
        <v>43191</v>
      </c>
      <c r="B995" s="2" t="s">
        <v>26</v>
      </c>
      <c r="C995" s="44">
        <v>627.23</v>
      </c>
      <c r="D995" s="45">
        <v>15</v>
      </c>
      <c r="E995" s="44">
        <v>41.815333000000003</v>
      </c>
    </row>
    <row r="996" spans="1:5" x14ac:dyDescent="0.25">
      <c r="A996" s="3">
        <v>43191</v>
      </c>
      <c r="B996" s="2" t="s">
        <v>46</v>
      </c>
      <c r="C996" s="44">
        <v>1696.86</v>
      </c>
      <c r="D996" s="45">
        <v>5</v>
      </c>
      <c r="E996" s="44">
        <v>339.37200000000001</v>
      </c>
    </row>
    <row r="997" spans="1:5" x14ac:dyDescent="0.25">
      <c r="A997" s="3">
        <v>43191</v>
      </c>
      <c r="B997" s="2" t="s">
        <v>47</v>
      </c>
      <c r="C997" s="44">
        <v>19375.310000000001</v>
      </c>
      <c r="D997" s="45">
        <v>60</v>
      </c>
      <c r="E997" s="44">
        <v>322.92183299999999</v>
      </c>
    </row>
    <row r="998" spans="1:5" x14ac:dyDescent="0.25">
      <c r="A998" s="3">
        <v>43191</v>
      </c>
      <c r="B998" s="2" t="s">
        <v>27</v>
      </c>
      <c r="C998" s="44">
        <v>19997.8</v>
      </c>
      <c r="D998" s="45">
        <v>131</v>
      </c>
      <c r="E998" s="44">
        <v>152.65496200000001</v>
      </c>
    </row>
    <row r="999" spans="1:5" x14ac:dyDescent="0.25">
      <c r="A999" s="3">
        <v>43191</v>
      </c>
      <c r="B999" s="2" t="s">
        <v>76</v>
      </c>
      <c r="C999" s="44">
        <v>43.8</v>
      </c>
      <c r="D999" s="45">
        <v>2</v>
      </c>
      <c r="E999" s="44">
        <v>21.9</v>
      </c>
    </row>
    <row r="1000" spans="1:5" x14ac:dyDescent="0.25">
      <c r="A1000" s="3">
        <v>43191</v>
      </c>
      <c r="B1000" s="2" t="s">
        <v>28</v>
      </c>
      <c r="C1000" s="44">
        <v>17430.41</v>
      </c>
      <c r="D1000" s="45">
        <v>174</v>
      </c>
      <c r="E1000" s="44">
        <v>100.17477</v>
      </c>
    </row>
    <row r="1001" spans="1:5" x14ac:dyDescent="0.25">
      <c r="A1001" s="3">
        <v>43191</v>
      </c>
      <c r="B1001" s="2" t="s">
        <v>29</v>
      </c>
      <c r="C1001" s="44">
        <v>18282.97</v>
      </c>
      <c r="D1001" s="45">
        <v>166</v>
      </c>
      <c r="E1001" s="44">
        <v>110.138373</v>
      </c>
    </row>
    <row r="1002" spans="1:5" x14ac:dyDescent="0.25">
      <c r="A1002" s="3">
        <v>43191</v>
      </c>
      <c r="B1002" s="2" t="s">
        <v>64</v>
      </c>
      <c r="C1002" s="44">
        <v>2222.3000000000002</v>
      </c>
      <c r="D1002" s="45">
        <v>36</v>
      </c>
      <c r="E1002" s="44">
        <v>61.730556</v>
      </c>
    </row>
    <row r="1003" spans="1:5" x14ac:dyDescent="0.25">
      <c r="A1003" s="3">
        <v>43191</v>
      </c>
      <c r="B1003" s="2" t="s">
        <v>49</v>
      </c>
      <c r="C1003" s="44">
        <v>12071.76</v>
      </c>
      <c r="D1003" s="45">
        <v>66</v>
      </c>
      <c r="E1003" s="44">
        <v>182.90545499999999</v>
      </c>
    </row>
    <row r="1004" spans="1:5" x14ac:dyDescent="0.25">
      <c r="A1004" s="3">
        <v>43191</v>
      </c>
      <c r="B1004" s="2" t="s">
        <v>73</v>
      </c>
      <c r="C1004" s="44">
        <v>13211.99</v>
      </c>
      <c r="D1004" s="45">
        <v>13</v>
      </c>
      <c r="E1004" s="44">
        <v>1016.306923</v>
      </c>
    </row>
    <row r="1005" spans="1:5" x14ac:dyDescent="0.25">
      <c r="A1005" s="3">
        <v>43191</v>
      </c>
      <c r="B1005" s="2" t="s">
        <v>30</v>
      </c>
      <c r="C1005" s="44">
        <v>65793.52</v>
      </c>
      <c r="D1005" s="45">
        <v>586</v>
      </c>
      <c r="E1005" s="44">
        <v>112.275631</v>
      </c>
    </row>
    <row r="1006" spans="1:5" x14ac:dyDescent="0.25">
      <c r="A1006" s="3">
        <v>43191</v>
      </c>
      <c r="B1006" s="2" t="s">
        <v>50</v>
      </c>
      <c r="C1006" s="44">
        <v>11263.45</v>
      </c>
      <c r="D1006" s="45">
        <v>152</v>
      </c>
      <c r="E1006" s="44">
        <v>74.101645000000005</v>
      </c>
    </row>
    <row r="1007" spans="1:5" x14ac:dyDescent="0.25">
      <c r="A1007" s="3">
        <v>43191</v>
      </c>
      <c r="B1007" s="2" t="s">
        <v>59</v>
      </c>
      <c r="C1007" s="44">
        <v>52</v>
      </c>
      <c r="D1007" s="45">
        <v>1</v>
      </c>
      <c r="E1007" s="44">
        <v>52</v>
      </c>
    </row>
    <row r="1008" spans="1:5" x14ac:dyDescent="0.25">
      <c r="A1008" s="3">
        <v>43191</v>
      </c>
      <c r="B1008" s="2" t="s">
        <v>31</v>
      </c>
      <c r="C1008" s="44">
        <v>16312.06</v>
      </c>
      <c r="D1008" s="45">
        <v>279</v>
      </c>
      <c r="E1008" s="44">
        <v>58.466164999999997</v>
      </c>
    </row>
    <row r="1009" spans="1:5" x14ac:dyDescent="0.25">
      <c r="A1009" s="3">
        <v>43191</v>
      </c>
      <c r="B1009" s="2" t="s">
        <v>32</v>
      </c>
      <c r="C1009" s="44">
        <v>23140.41</v>
      </c>
      <c r="D1009" s="45">
        <v>202</v>
      </c>
      <c r="E1009" s="44">
        <v>114.556485</v>
      </c>
    </row>
    <row r="1010" spans="1:5" x14ac:dyDescent="0.25">
      <c r="A1010" s="3">
        <v>43191</v>
      </c>
      <c r="B1010" s="2" t="s">
        <v>33</v>
      </c>
      <c r="C1010" s="44">
        <v>7987.9</v>
      </c>
      <c r="D1010" s="45">
        <v>74</v>
      </c>
      <c r="E1010" s="44">
        <v>107.94459500000001</v>
      </c>
    </row>
    <row r="1011" spans="1:5" x14ac:dyDescent="0.25">
      <c r="A1011" s="3">
        <v>43191</v>
      </c>
      <c r="B1011" s="2" t="s">
        <v>34</v>
      </c>
      <c r="C1011" s="44">
        <v>88623.07</v>
      </c>
      <c r="D1011" s="45">
        <v>494</v>
      </c>
      <c r="E1011" s="44">
        <v>179.39892699999999</v>
      </c>
    </row>
    <row r="1012" spans="1:5" x14ac:dyDescent="0.25">
      <c r="A1012" s="3">
        <v>43221</v>
      </c>
      <c r="B1012" s="2" t="s">
        <v>35</v>
      </c>
      <c r="C1012" s="44">
        <v>3279.75</v>
      </c>
      <c r="D1012" s="45">
        <v>8</v>
      </c>
      <c r="E1012" s="44">
        <v>409.96875</v>
      </c>
    </row>
    <row r="1013" spans="1:5" x14ac:dyDescent="0.25">
      <c r="A1013" s="3">
        <v>43221</v>
      </c>
      <c r="B1013" s="2" t="s">
        <v>6</v>
      </c>
      <c r="C1013" s="44">
        <v>1851.3</v>
      </c>
      <c r="D1013" s="45">
        <v>14</v>
      </c>
      <c r="E1013" s="44">
        <v>132.235714</v>
      </c>
    </row>
    <row r="1014" spans="1:5" x14ac:dyDescent="0.25">
      <c r="A1014" s="3">
        <v>43221</v>
      </c>
      <c r="B1014" s="2" t="s">
        <v>60</v>
      </c>
      <c r="C1014" s="44">
        <v>2491.9699999999998</v>
      </c>
      <c r="D1014" s="45">
        <v>34</v>
      </c>
      <c r="E1014" s="44">
        <v>73.293234999999996</v>
      </c>
    </row>
    <row r="1015" spans="1:5" x14ac:dyDescent="0.25">
      <c r="A1015" s="3">
        <v>43221</v>
      </c>
      <c r="B1015" s="2" t="s">
        <v>71</v>
      </c>
      <c r="C1015" s="44">
        <v>89.8</v>
      </c>
      <c r="D1015" s="45">
        <v>1</v>
      </c>
      <c r="E1015" s="44">
        <v>89.8</v>
      </c>
    </row>
    <row r="1016" spans="1:5" x14ac:dyDescent="0.25">
      <c r="A1016" s="3">
        <v>43221</v>
      </c>
      <c r="B1016" s="2" t="s">
        <v>7</v>
      </c>
      <c r="C1016" s="44">
        <v>2697.68</v>
      </c>
      <c r="D1016" s="45">
        <v>21</v>
      </c>
      <c r="E1016" s="44">
        <v>128.46095199999999</v>
      </c>
    </row>
    <row r="1017" spans="1:5" x14ac:dyDescent="0.25">
      <c r="A1017" s="3">
        <v>43221</v>
      </c>
      <c r="B1017" s="2" t="s">
        <v>8</v>
      </c>
      <c r="C1017" s="44">
        <v>40851.440000000002</v>
      </c>
      <c r="D1017" s="45">
        <v>308</v>
      </c>
      <c r="E1017" s="44">
        <v>132.634545</v>
      </c>
    </row>
    <row r="1018" spans="1:5" x14ac:dyDescent="0.25">
      <c r="A1018" s="3">
        <v>43221</v>
      </c>
      <c r="B1018" s="2" t="s">
        <v>9</v>
      </c>
      <c r="C1018" s="44">
        <v>33253.65</v>
      </c>
      <c r="D1018" s="45">
        <v>239</v>
      </c>
      <c r="E1018" s="44">
        <v>139.13661099999999</v>
      </c>
    </row>
    <row r="1019" spans="1:5" x14ac:dyDescent="0.25">
      <c r="A1019" s="3">
        <v>43221</v>
      </c>
      <c r="B1019" s="2" t="s">
        <v>10</v>
      </c>
      <c r="C1019" s="44">
        <v>71265.070000000007</v>
      </c>
      <c r="D1019" s="45">
        <v>740</v>
      </c>
      <c r="E1019" s="44">
        <v>96.304148999999995</v>
      </c>
    </row>
    <row r="1020" spans="1:5" x14ac:dyDescent="0.25">
      <c r="A1020" s="3">
        <v>43221</v>
      </c>
      <c r="B1020" s="2" t="s">
        <v>36</v>
      </c>
      <c r="C1020" s="44">
        <v>5925.13</v>
      </c>
      <c r="D1020" s="45">
        <v>50</v>
      </c>
      <c r="E1020" s="44">
        <v>118.5026</v>
      </c>
    </row>
    <row r="1021" spans="1:5" x14ac:dyDescent="0.25">
      <c r="A1021" s="3">
        <v>43221</v>
      </c>
      <c r="B1021" s="2" t="s">
        <v>65</v>
      </c>
      <c r="C1021" s="44">
        <v>410.92</v>
      </c>
      <c r="D1021" s="45">
        <v>10</v>
      </c>
      <c r="E1021" s="44">
        <v>41.091999999999999</v>
      </c>
    </row>
    <row r="1022" spans="1:5" x14ac:dyDescent="0.25">
      <c r="A1022" s="3">
        <v>43221</v>
      </c>
      <c r="B1022" s="2" t="s">
        <v>51</v>
      </c>
      <c r="C1022" s="44">
        <v>3040.53</v>
      </c>
      <c r="D1022" s="45">
        <v>55</v>
      </c>
      <c r="E1022" s="44">
        <v>55.282364000000001</v>
      </c>
    </row>
    <row r="1023" spans="1:5" x14ac:dyDescent="0.25">
      <c r="A1023" s="3">
        <v>43221</v>
      </c>
      <c r="B1023" s="2" t="s">
        <v>66</v>
      </c>
      <c r="C1023" s="44">
        <v>524.53</v>
      </c>
      <c r="D1023" s="45">
        <v>6</v>
      </c>
      <c r="E1023" s="44">
        <v>87.421666999999999</v>
      </c>
    </row>
    <row r="1024" spans="1:5" x14ac:dyDescent="0.25">
      <c r="A1024" s="3">
        <v>43221</v>
      </c>
      <c r="B1024" s="2" t="s">
        <v>52</v>
      </c>
      <c r="C1024" s="44">
        <v>2108.29</v>
      </c>
      <c r="D1024" s="45">
        <v>17</v>
      </c>
      <c r="E1024" s="44">
        <v>124.017059</v>
      </c>
    </row>
    <row r="1025" spans="1:5" x14ac:dyDescent="0.25">
      <c r="A1025" s="3">
        <v>43221</v>
      </c>
      <c r="B1025" s="2" t="s">
        <v>37</v>
      </c>
      <c r="C1025" s="44">
        <v>8699.92</v>
      </c>
      <c r="D1025" s="45">
        <v>13</v>
      </c>
      <c r="E1025" s="44">
        <v>669.22461499999997</v>
      </c>
    </row>
    <row r="1026" spans="1:5" x14ac:dyDescent="0.25">
      <c r="A1026" s="3">
        <v>43221</v>
      </c>
      <c r="B1026" s="2" t="s">
        <v>11</v>
      </c>
      <c r="C1026" s="44">
        <v>50631.83</v>
      </c>
      <c r="D1026" s="45">
        <v>453</v>
      </c>
      <c r="E1026" s="44">
        <v>111.770044</v>
      </c>
    </row>
    <row r="1027" spans="1:5" x14ac:dyDescent="0.25">
      <c r="A1027" s="3">
        <v>43221</v>
      </c>
      <c r="B1027" s="2" t="s">
        <v>12</v>
      </c>
      <c r="C1027" s="44">
        <v>5279.27</v>
      </c>
      <c r="D1027" s="45">
        <v>52</v>
      </c>
      <c r="E1027" s="44">
        <v>101.524423</v>
      </c>
    </row>
    <row r="1028" spans="1:5" x14ac:dyDescent="0.25">
      <c r="A1028" s="3">
        <v>43221</v>
      </c>
      <c r="B1028" s="2" t="s">
        <v>53</v>
      </c>
      <c r="C1028" s="44">
        <v>20748.599999999999</v>
      </c>
      <c r="D1028" s="45">
        <v>125</v>
      </c>
      <c r="E1028" s="44">
        <v>165.9888</v>
      </c>
    </row>
    <row r="1029" spans="1:5" x14ac:dyDescent="0.25">
      <c r="A1029" s="3">
        <v>43221</v>
      </c>
      <c r="B1029" s="2" t="s">
        <v>75</v>
      </c>
      <c r="C1029" s="44">
        <v>4354.8100000000004</v>
      </c>
      <c r="D1029" s="45">
        <v>38</v>
      </c>
      <c r="E1029" s="44">
        <v>114.600263</v>
      </c>
    </row>
    <row r="1030" spans="1:5" x14ac:dyDescent="0.25">
      <c r="A1030" s="3">
        <v>43221</v>
      </c>
      <c r="B1030" s="2" t="s">
        <v>54</v>
      </c>
      <c r="C1030" s="44">
        <v>6045.01</v>
      </c>
      <c r="D1030" s="45">
        <v>22</v>
      </c>
      <c r="E1030" s="44">
        <v>274.77318200000002</v>
      </c>
    </row>
    <row r="1031" spans="1:5" x14ac:dyDescent="0.25">
      <c r="A1031" s="3">
        <v>43221</v>
      </c>
      <c r="B1031" s="2" t="s">
        <v>13</v>
      </c>
      <c r="C1031" s="44">
        <v>29949.119999999999</v>
      </c>
      <c r="D1031" s="45">
        <v>175</v>
      </c>
      <c r="E1031" s="44">
        <v>171.13782900000001</v>
      </c>
    </row>
    <row r="1032" spans="1:5" x14ac:dyDescent="0.25">
      <c r="A1032" s="3">
        <v>43221</v>
      </c>
      <c r="B1032" s="2" t="s">
        <v>55</v>
      </c>
      <c r="C1032" s="44">
        <v>1073.28</v>
      </c>
      <c r="D1032" s="45">
        <v>16</v>
      </c>
      <c r="E1032" s="44">
        <v>67.08</v>
      </c>
    </row>
    <row r="1033" spans="1:5" x14ac:dyDescent="0.25">
      <c r="A1033" s="3">
        <v>43221</v>
      </c>
      <c r="B1033" s="2" t="s">
        <v>67</v>
      </c>
      <c r="C1033" s="44">
        <v>417.9</v>
      </c>
      <c r="D1033" s="45">
        <v>5</v>
      </c>
      <c r="E1033" s="44">
        <v>83.58</v>
      </c>
    </row>
    <row r="1034" spans="1:5" x14ac:dyDescent="0.25">
      <c r="A1034" s="3">
        <v>43221</v>
      </c>
      <c r="B1034" s="2" t="s">
        <v>14</v>
      </c>
      <c r="C1034" s="44">
        <v>117</v>
      </c>
      <c r="D1034" s="45">
        <v>3</v>
      </c>
      <c r="E1034" s="44">
        <v>39</v>
      </c>
    </row>
    <row r="1035" spans="1:5" x14ac:dyDescent="0.25">
      <c r="A1035" s="3">
        <v>43221</v>
      </c>
      <c r="B1035" s="2" t="s">
        <v>61</v>
      </c>
      <c r="C1035" s="44">
        <v>2505.9899999999998</v>
      </c>
      <c r="D1035" s="45">
        <v>47</v>
      </c>
      <c r="E1035" s="44">
        <v>53.318936000000001</v>
      </c>
    </row>
    <row r="1036" spans="1:5" x14ac:dyDescent="0.25">
      <c r="A1036" s="3">
        <v>43221</v>
      </c>
      <c r="B1036" s="2" t="s">
        <v>38</v>
      </c>
      <c r="C1036" s="44">
        <v>439.94</v>
      </c>
      <c r="D1036" s="45">
        <v>7</v>
      </c>
      <c r="E1036" s="44">
        <v>62.848571</v>
      </c>
    </row>
    <row r="1037" spans="1:5" x14ac:dyDescent="0.25">
      <c r="A1037" s="3">
        <v>43221</v>
      </c>
      <c r="B1037" s="2" t="s">
        <v>15</v>
      </c>
      <c r="C1037" s="44">
        <v>16176.79</v>
      </c>
      <c r="D1037" s="45">
        <v>231</v>
      </c>
      <c r="E1037" s="44">
        <v>70.029393999999996</v>
      </c>
    </row>
    <row r="1038" spans="1:5" x14ac:dyDescent="0.25">
      <c r="A1038" s="3">
        <v>43221</v>
      </c>
      <c r="B1038" s="2" t="s">
        <v>17</v>
      </c>
      <c r="C1038" s="44">
        <v>11490.17</v>
      </c>
      <c r="D1038" s="45">
        <v>110</v>
      </c>
      <c r="E1038" s="44">
        <v>104.456091</v>
      </c>
    </row>
    <row r="1039" spans="1:5" x14ac:dyDescent="0.25">
      <c r="A1039" s="3">
        <v>43221</v>
      </c>
      <c r="B1039" s="2" t="s">
        <v>18</v>
      </c>
      <c r="C1039" s="44">
        <v>129.99</v>
      </c>
      <c r="D1039" s="45">
        <v>1</v>
      </c>
      <c r="E1039" s="44">
        <v>129.99</v>
      </c>
    </row>
    <row r="1040" spans="1:5" x14ac:dyDescent="0.25">
      <c r="A1040" s="3">
        <v>43221</v>
      </c>
      <c r="B1040" s="2" t="s">
        <v>19</v>
      </c>
      <c r="C1040" s="44">
        <v>1582.7</v>
      </c>
      <c r="D1040" s="45">
        <v>10</v>
      </c>
      <c r="E1040" s="44">
        <v>158.27000000000001</v>
      </c>
    </row>
    <row r="1041" spans="1:5" x14ac:dyDescent="0.25">
      <c r="A1041" s="3">
        <v>43221</v>
      </c>
      <c r="B1041" s="2" t="s">
        <v>39</v>
      </c>
      <c r="C1041" s="44">
        <v>207.4</v>
      </c>
      <c r="D1041" s="45">
        <v>6</v>
      </c>
      <c r="E1041" s="44">
        <v>34.566667000000002</v>
      </c>
    </row>
    <row r="1042" spans="1:5" x14ac:dyDescent="0.25">
      <c r="A1042" s="3">
        <v>43221</v>
      </c>
      <c r="B1042" s="2" t="s">
        <v>20</v>
      </c>
      <c r="C1042" s="44">
        <v>1846.2</v>
      </c>
      <c r="D1042" s="45">
        <v>16</v>
      </c>
      <c r="E1042" s="44">
        <v>115.3875</v>
      </c>
    </row>
    <row r="1043" spans="1:5" x14ac:dyDescent="0.25">
      <c r="A1043" s="3">
        <v>43221</v>
      </c>
      <c r="B1043" s="2" t="s">
        <v>77</v>
      </c>
      <c r="C1043" s="44">
        <v>16.399999999999999</v>
      </c>
      <c r="D1043" s="45">
        <v>1</v>
      </c>
      <c r="E1043" s="44">
        <v>16.399999999999999</v>
      </c>
    </row>
    <row r="1044" spans="1:5" x14ac:dyDescent="0.25">
      <c r="A1044" s="3">
        <v>43221</v>
      </c>
      <c r="B1044" s="2" t="s">
        <v>21</v>
      </c>
      <c r="C1044" s="44">
        <v>1542.93</v>
      </c>
      <c r="D1044" s="45">
        <v>44</v>
      </c>
      <c r="E1044" s="44">
        <v>35.066591000000003</v>
      </c>
    </row>
    <row r="1045" spans="1:5" x14ac:dyDescent="0.25">
      <c r="A1045" s="3">
        <v>43221</v>
      </c>
      <c r="B1045" s="2" t="s">
        <v>63</v>
      </c>
      <c r="C1045" s="44">
        <v>1239.44</v>
      </c>
      <c r="D1045" s="45">
        <v>25</v>
      </c>
      <c r="E1045" s="44">
        <v>49.577599999999997</v>
      </c>
    </row>
    <row r="1046" spans="1:5" x14ac:dyDescent="0.25">
      <c r="A1046" s="3">
        <v>43221</v>
      </c>
      <c r="B1046" s="2" t="s">
        <v>40</v>
      </c>
      <c r="C1046" s="44">
        <v>1484.98</v>
      </c>
      <c r="D1046" s="45">
        <v>6</v>
      </c>
      <c r="E1046" s="44">
        <v>247.496667</v>
      </c>
    </row>
    <row r="1047" spans="1:5" x14ac:dyDescent="0.25">
      <c r="A1047" s="3">
        <v>43221</v>
      </c>
      <c r="B1047" s="2" t="s">
        <v>22</v>
      </c>
      <c r="C1047" s="44">
        <v>53706.45</v>
      </c>
      <c r="D1047" s="45">
        <v>597</v>
      </c>
      <c r="E1047" s="44">
        <v>89.960553000000004</v>
      </c>
    </row>
    <row r="1048" spans="1:5" x14ac:dyDescent="0.25">
      <c r="A1048" s="3">
        <v>43221</v>
      </c>
      <c r="B1048" s="2" t="s">
        <v>41</v>
      </c>
      <c r="C1048" s="44">
        <v>2721.08</v>
      </c>
      <c r="D1048" s="45">
        <v>16</v>
      </c>
      <c r="E1048" s="44">
        <v>170.0675</v>
      </c>
    </row>
    <row r="1049" spans="1:5" x14ac:dyDescent="0.25">
      <c r="A1049" s="3">
        <v>43221</v>
      </c>
      <c r="B1049" s="2" t="s">
        <v>23</v>
      </c>
      <c r="C1049" s="44">
        <v>37700.79</v>
      </c>
      <c r="D1049" s="45">
        <v>288</v>
      </c>
      <c r="E1049" s="44">
        <v>130.90552099999999</v>
      </c>
    </row>
    <row r="1050" spans="1:5" x14ac:dyDescent="0.25">
      <c r="A1050" s="3">
        <v>43221</v>
      </c>
      <c r="B1050" s="2" t="s">
        <v>5</v>
      </c>
      <c r="C1050" s="44">
        <v>94534.38</v>
      </c>
      <c r="D1050" s="45">
        <v>751</v>
      </c>
      <c r="E1050" s="44">
        <v>125.87800300000001</v>
      </c>
    </row>
    <row r="1051" spans="1:5" x14ac:dyDescent="0.25">
      <c r="A1051" s="3">
        <v>43221</v>
      </c>
      <c r="B1051" s="2" t="s">
        <v>56</v>
      </c>
      <c r="C1051" s="44">
        <v>6149.67</v>
      </c>
      <c r="D1051" s="45">
        <v>64</v>
      </c>
      <c r="E1051" s="44">
        <v>96.088594000000001</v>
      </c>
    </row>
    <row r="1052" spans="1:5" x14ac:dyDescent="0.25">
      <c r="A1052" s="3">
        <v>43221</v>
      </c>
      <c r="B1052" s="2" t="s">
        <v>42</v>
      </c>
      <c r="C1052" s="44">
        <v>14441.24</v>
      </c>
      <c r="D1052" s="45">
        <v>23</v>
      </c>
      <c r="E1052" s="44">
        <v>627.88</v>
      </c>
    </row>
    <row r="1053" spans="1:5" x14ac:dyDescent="0.25">
      <c r="A1053" s="3">
        <v>43221</v>
      </c>
      <c r="B1053" s="2" t="s">
        <v>57</v>
      </c>
      <c r="C1053" s="44">
        <v>2708.7</v>
      </c>
      <c r="D1053" s="45">
        <v>21</v>
      </c>
      <c r="E1053" s="44">
        <v>128.985714</v>
      </c>
    </row>
    <row r="1054" spans="1:5" x14ac:dyDescent="0.25">
      <c r="A1054" s="3">
        <v>43221</v>
      </c>
      <c r="B1054" s="2" t="s">
        <v>58</v>
      </c>
      <c r="C1054" s="44">
        <v>10155.280000000001</v>
      </c>
      <c r="D1054" s="45">
        <v>79</v>
      </c>
      <c r="E1054" s="44">
        <v>128.54784799999999</v>
      </c>
    </row>
    <row r="1055" spans="1:5" x14ac:dyDescent="0.25">
      <c r="A1055" s="3">
        <v>43221</v>
      </c>
      <c r="B1055" s="2" t="s">
        <v>24</v>
      </c>
      <c r="C1055" s="44">
        <v>62824.57</v>
      </c>
      <c r="D1055" s="45">
        <v>618</v>
      </c>
      <c r="E1055" s="44">
        <v>101.65788000000001</v>
      </c>
    </row>
    <row r="1056" spans="1:5" x14ac:dyDescent="0.25">
      <c r="A1056" s="3">
        <v>43221</v>
      </c>
      <c r="B1056" s="2" t="s">
        <v>25</v>
      </c>
      <c r="C1056" s="44">
        <v>3780.99</v>
      </c>
      <c r="D1056" s="45">
        <v>40</v>
      </c>
      <c r="E1056" s="44">
        <v>94.524749999999997</v>
      </c>
    </row>
    <row r="1057" spans="1:5" x14ac:dyDescent="0.25">
      <c r="A1057" s="3">
        <v>43221</v>
      </c>
      <c r="B1057" s="2" t="s">
        <v>44</v>
      </c>
      <c r="C1057" s="44">
        <v>2310.09</v>
      </c>
      <c r="D1057" s="45">
        <v>13</v>
      </c>
      <c r="E1057" s="44">
        <v>177.699231</v>
      </c>
    </row>
    <row r="1058" spans="1:5" x14ac:dyDescent="0.25">
      <c r="A1058" s="3">
        <v>43221</v>
      </c>
      <c r="B1058" s="2" t="s">
        <v>45</v>
      </c>
      <c r="C1058" s="44">
        <v>6618.46</v>
      </c>
      <c r="D1058" s="45">
        <v>49</v>
      </c>
      <c r="E1058" s="44">
        <v>135.07061200000001</v>
      </c>
    </row>
    <row r="1059" spans="1:5" x14ac:dyDescent="0.25">
      <c r="A1059" s="3">
        <v>43221</v>
      </c>
      <c r="B1059" s="2" t="s">
        <v>26</v>
      </c>
      <c r="C1059" s="44">
        <v>957.45</v>
      </c>
      <c r="D1059" s="45">
        <v>14</v>
      </c>
      <c r="E1059" s="44">
        <v>68.389285999999998</v>
      </c>
    </row>
    <row r="1060" spans="1:5" x14ac:dyDescent="0.25">
      <c r="A1060" s="3">
        <v>43221</v>
      </c>
      <c r="B1060" s="2" t="s">
        <v>46</v>
      </c>
      <c r="C1060" s="44">
        <v>729</v>
      </c>
      <c r="D1060" s="45">
        <v>5</v>
      </c>
      <c r="E1060" s="44">
        <v>145.80000000000001</v>
      </c>
    </row>
    <row r="1061" spans="1:5" x14ac:dyDescent="0.25">
      <c r="A1061" s="3">
        <v>43221</v>
      </c>
      <c r="B1061" s="2" t="s">
        <v>47</v>
      </c>
      <c r="C1061" s="44">
        <v>18757.07</v>
      </c>
      <c r="D1061" s="45">
        <v>61</v>
      </c>
      <c r="E1061" s="44">
        <v>307.49295100000001</v>
      </c>
    </row>
    <row r="1062" spans="1:5" x14ac:dyDescent="0.25">
      <c r="A1062" s="3">
        <v>43221</v>
      </c>
      <c r="B1062" s="2" t="s">
        <v>27</v>
      </c>
      <c r="C1062" s="44">
        <v>20835.87</v>
      </c>
      <c r="D1062" s="45">
        <v>104</v>
      </c>
      <c r="E1062" s="44">
        <v>200.34490400000001</v>
      </c>
    </row>
    <row r="1063" spans="1:5" x14ac:dyDescent="0.25">
      <c r="A1063" s="3">
        <v>43221</v>
      </c>
      <c r="B1063" s="2" t="s">
        <v>76</v>
      </c>
      <c r="C1063" s="44">
        <v>100.7</v>
      </c>
      <c r="D1063" s="45">
        <v>4</v>
      </c>
      <c r="E1063" s="44">
        <v>25.175000000000001</v>
      </c>
    </row>
    <row r="1064" spans="1:5" x14ac:dyDescent="0.25">
      <c r="A1064" s="3">
        <v>43221</v>
      </c>
      <c r="B1064" s="2" t="s">
        <v>28</v>
      </c>
      <c r="C1064" s="44">
        <v>24482.7</v>
      </c>
      <c r="D1064" s="45">
        <v>197</v>
      </c>
      <c r="E1064" s="44">
        <v>124.277665</v>
      </c>
    </row>
    <row r="1065" spans="1:5" x14ac:dyDescent="0.25">
      <c r="A1065" s="3">
        <v>43221</v>
      </c>
      <c r="B1065" s="2" t="s">
        <v>29</v>
      </c>
      <c r="C1065" s="44">
        <v>11708.46</v>
      </c>
      <c r="D1065" s="45">
        <v>136</v>
      </c>
      <c r="E1065" s="44">
        <v>86.091617999999997</v>
      </c>
    </row>
    <row r="1066" spans="1:5" x14ac:dyDescent="0.25">
      <c r="A1066" s="3">
        <v>43221</v>
      </c>
      <c r="B1066" s="2" t="s">
        <v>78</v>
      </c>
      <c r="C1066" s="44">
        <v>1958</v>
      </c>
      <c r="D1066" s="45">
        <v>2</v>
      </c>
      <c r="E1066" s="44">
        <v>979</v>
      </c>
    </row>
    <row r="1067" spans="1:5" x14ac:dyDescent="0.25">
      <c r="A1067" s="3">
        <v>43221</v>
      </c>
      <c r="B1067" s="2" t="s">
        <v>64</v>
      </c>
      <c r="C1067" s="44">
        <v>683.5</v>
      </c>
      <c r="D1067" s="45">
        <v>7</v>
      </c>
      <c r="E1067" s="44">
        <v>97.642857000000006</v>
      </c>
    </row>
    <row r="1068" spans="1:5" x14ac:dyDescent="0.25">
      <c r="A1068" s="3">
        <v>43221</v>
      </c>
      <c r="B1068" s="2" t="s">
        <v>49</v>
      </c>
      <c r="C1068" s="44">
        <v>10620.99</v>
      </c>
      <c r="D1068" s="45">
        <v>48</v>
      </c>
      <c r="E1068" s="44">
        <v>221.270625</v>
      </c>
    </row>
    <row r="1069" spans="1:5" x14ac:dyDescent="0.25">
      <c r="A1069" s="3">
        <v>43221</v>
      </c>
      <c r="B1069" s="2" t="s">
        <v>73</v>
      </c>
      <c r="C1069" s="44">
        <v>10161.6</v>
      </c>
      <c r="D1069" s="45">
        <v>9</v>
      </c>
      <c r="E1069" s="44">
        <v>1129.0666670000001</v>
      </c>
    </row>
    <row r="1070" spans="1:5" x14ac:dyDescent="0.25">
      <c r="A1070" s="3">
        <v>43221</v>
      </c>
      <c r="B1070" s="2" t="s">
        <v>30</v>
      </c>
      <c r="C1070" s="44">
        <v>59209.919999999998</v>
      </c>
      <c r="D1070" s="45">
        <v>489</v>
      </c>
      <c r="E1070" s="44">
        <v>121.083681</v>
      </c>
    </row>
    <row r="1071" spans="1:5" x14ac:dyDescent="0.25">
      <c r="A1071" s="3">
        <v>43221</v>
      </c>
      <c r="B1071" s="2" t="s">
        <v>50</v>
      </c>
      <c r="C1071" s="44">
        <v>12923.39</v>
      </c>
      <c r="D1071" s="45">
        <v>130</v>
      </c>
      <c r="E1071" s="44">
        <v>99.410691999999997</v>
      </c>
    </row>
    <row r="1072" spans="1:5" x14ac:dyDescent="0.25">
      <c r="A1072" s="3">
        <v>43221</v>
      </c>
      <c r="B1072" s="2" t="s">
        <v>59</v>
      </c>
      <c r="C1072" s="44">
        <v>49.9</v>
      </c>
      <c r="D1072" s="45">
        <v>1</v>
      </c>
      <c r="E1072" s="44">
        <v>49.9</v>
      </c>
    </row>
    <row r="1073" spans="1:5" x14ac:dyDescent="0.25">
      <c r="A1073" s="3">
        <v>43221</v>
      </c>
      <c r="B1073" s="2" t="s">
        <v>31</v>
      </c>
      <c r="C1073" s="44">
        <v>18944.28</v>
      </c>
      <c r="D1073" s="45">
        <v>250</v>
      </c>
      <c r="E1073" s="44">
        <v>75.777119999999996</v>
      </c>
    </row>
    <row r="1074" spans="1:5" x14ac:dyDescent="0.25">
      <c r="A1074" s="3">
        <v>43221</v>
      </c>
      <c r="B1074" s="2" t="s">
        <v>32</v>
      </c>
      <c r="C1074" s="44">
        <v>31538.41</v>
      </c>
      <c r="D1074" s="45">
        <v>218</v>
      </c>
      <c r="E1074" s="44">
        <v>144.671606</v>
      </c>
    </row>
    <row r="1075" spans="1:5" x14ac:dyDescent="0.25">
      <c r="A1075" s="3">
        <v>43221</v>
      </c>
      <c r="B1075" s="2" t="s">
        <v>33</v>
      </c>
      <c r="C1075" s="44">
        <v>3097.04</v>
      </c>
      <c r="D1075" s="45">
        <v>42</v>
      </c>
      <c r="E1075" s="44">
        <v>73.739047999999997</v>
      </c>
    </row>
    <row r="1076" spans="1:5" x14ac:dyDescent="0.25">
      <c r="A1076" s="3">
        <v>43221</v>
      </c>
      <c r="B1076" s="2" t="s">
        <v>34</v>
      </c>
      <c r="C1076" s="44">
        <v>119364.98</v>
      </c>
      <c r="D1076" s="45">
        <v>625</v>
      </c>
      <c r="E1076" s="44">
        <v>190.983968</v>
      </c>
    </row>
    <row r="1077" spans="1:5" x14ac:dyDescent="0.25">
      <c r="A1077" s="3">
        <v>43252</v>
      </c>
      <c r="B1077" s="2" t="s">
        <v>35</v>
      </c>
      <c r="C1077" s="44">
        <v>3515.8</v>
      </c>
      <c r="D1077" s="45">
        <v>10</v>
      </c>
      <c r="E1077" s="44">
        <v>351.58</v>
      </c>
    </row>
    <row r="1078" spans="1:5" x14ac:dyDescent="0.25">
      <c r="A1078" s="3">
        <v>43252</v>
      </c>
      <c r="B1078" s="2" t="s">
        <v>6</v>
      </c>
      <c r="C1078" s="44">
        <v>3567.9</v>
      </c>
      <c r="D1078" s="45">
        <v>15</v>
      </c>
      <c r="E1078" s="44">
        <v>237.86</v>
      </c>
    </row>
    <row r="1079" spans="1:5" x14ac:dyDescent="0.25">
      <c r="A1079" s="3">
        <v>43252</v>
      </c>
      <c r="B1079" s="2" t="s">
        <v>60</v>
      </c>
      <c r="C1079" s="44">
        <v>2500.14</v>
      </c>
      <c r="D1079" s="45">
        <v>28</v>
      </c>
      <c r="E1079" s="44">
        <v>89.290713999999994</v>
      </c>
    </row>
    <row r="1080" spans="1:5" x14ac:dyDescent="0.25">
      <c r="A1080" s="3">
        <v>43252</v>
      </c>
      <c r="B1080" s="2" t="s">
        <v>7</v>
      </c>
      <c r="C1080" s="44">
        <v>1830.69</v>
      </c>
      <c r="D1080" s="45">
        <v>20</v>
      </c>
      <c r="E1080" s="44">
        <v>91.534499999999994</v>
      </c>
    </row>
    <row r="1081" spans="1:5" x14ac:dyDescent="0.25">
      <c r="A1081" s="3">
        <v>43252</v>
      </c>
      <c r="B1081" s="2" t="s">
        <v>8</v>
      </c>
      <c r="C1081" s="44">
        <v>44962.59</v>
      </c>
      <c r="D1081" s="45">
        <v>295</v>
      </c>
      <c r="E1081" s="44">
        <v>152.415559</v>
      </c>
    </row>
    <row r="1082" spans="1:5" x14ac:dyDescent="0.25">
      <c r="A1082" s="3">
        <v>43252</v>
      </c>
      <c r="B1082" s="2" t="s">
        <v>9</v>
      </c>
      <c r="C1082" s="44">
        <v>30550.32</v>
      </c>
      <c r="D1082" s="45">
        <v>223</v>
      </c>
      <c r="E1082" s="44">
        <v>136.996951</v>
      </c>
    </row>
    <row r="1083" spans="1:5" x14ac:dyDescent="0.25">
      <c r="A1083" s="3">
        <v>43252</v>
      </c>
      <c r="B1083" s="2" t="s">
        <v>10</v>
      </c>
      <c r="C1083" s="44">
        <v>70857.08</v>
      </c>
      <c r="D1083" s="45">
        <v>764</v>
      </c>
      <c r="E1083" s="44">
        <v>92.744868999999994</v>
      </c>
    </row>
    <row r="1084" spans="1:5" x14ac:dyDescent="0.25">
      <c r="A1084" s="3">
        <v>43252</v>
      </c>
      <c r="B1084" s="2" t="s">
        <v>36</v>
      </c>
      <c r="C1084" s="44">
        <v>3275.49</v>
      </c>
      <c r="D1084" s="45">
        <v>38</v>
      </c>
      <c r="E1084" s="44">
        <v>86.197104999999993</v>
      </c>
    </row>
    <row r="1085" spans="1:5" x14ac:dyDescent="0.25">
      <c r="A1085" s="3">
        <v>43252</v>
      </c>
      <c r="B1085" s="2" t="s">
        <v>65</v>
      </c>
      <c r="C1085" s="44">
        <v>468.17</v>
      </c>
      <c r="D1085" s="45">
        <v>9</v>
      </c>
      <c r="E1085" s="44">
        <v>52.018889000000001</v>
      </c>
    </row>
    <row r="1086" spans="1:5" x14ac:dyDescent="0.25">
      <c r="A1086" s="3">
        <v>43252</v>
      </c>
      <c r="B1086" s="2" t="s">
        <v>51</v>
      </c>
      <c r="C1086" s="44">
        <v>1747.43</v>
      </c>
      <c r="D1086" s="45">
        <v>26</v>
      </c>
      <c r="E1086" s="44">
        <v>67.208845999999994</v>
      </c>
    </row>
    <row r="1087" spans="1:5" x14ac:dyDescent="0.25">
      <c r="A1087" s="3">
        <v>43252</v>
      </c>
      <c r="B1087" s="2" t="s">
        <v>66</v>
      </c>
      <c r="C1087" s="44">
        <v>306.19</v>
      </c>
      <c r="D1087" s="45">
        <v>7</v>
      </c>
      <c r="E1087" s="44">
        <v>43.741428999999997</v>
      </c>
    </row>
    <row r="1088" spans="1:5" x14ac:dyDescent="0.25">
      <c r="A1088" s="3">
        <v>43252</v>
      </c>
      <c r="B1088" s="2" t="s">
        <v>52</v>
      </c>
      <c r="C1088" s="44">
        <v>435.85</v>
      </c>
      <c r="D1088" s="45">
        <v>13</v>
      </c>
      <c r="E1088" s="44">
        <v>33.526922999999996</v>
      </c>
    </row>
    <row r="1089" spans="1:5" x14ac:dyDescent="0.25">
      <c r="A1089" s="3">
        <v>43252</v>
      </c>
      <c r="B1089" s="2" t="s">
        <v>37</v>
      </c>
      <c r="C1089" s="44">
        <v>13127</v>
      </c>
      <c r="D1089" s="45">
        <v>13</v>
      </c>
      <c r="E1089" s="44">
        <v>1009.769231</v>
      </c>
    </row>
    <row r="1090" spans="1:5" x14ac:dyDescent="0.25">
      <c r="A1090" s="3">
        <v>43252</v>
      </c>
      <c r="B1090" s="2" t="s">
        <v>11</v>
      </c>
      <c r="C1090" s="44">
        <v>41806.370000000003</v>
      </c>
      <c r="D1090" s="45">
        <v>401</v>
      </c>
      <c r="E1090" s="44">
        <v>104.255287</v>
      </c>
    </row>
    <row r="1091" spans="1:5" x14ac:dyDescent="0.25">
      <c r="A1091" s="3">
        <v>43252</v>
      </c>
      <c r="B1091" s="2" t="s">
        <v>12</v>
      </c>
      <c r="C1091" s="44">
        <v>6903.01</v>
      </c>
      <c r="D1091" s="45">
        <v>43</v>
      </c>
      <c r="E1091" s="44">
        <v>160.53511599999999</v>
      </c>
    </row>
    <row r="1092" spans="1:5" x14ac:dyDescent="0.25">
      <c r="A1092" s="3">
        <v>43252</v>
      </c>
      <c r="B1092" s="2" t="s">
        <v>53</v>
      </c>
      <c r="C1092" s="44">
        <v>22947.72</v>
      </c>
      <c r="D1092" s="45">
        <v>113</v>
      </c>
      <c r="E1092" s="44">
        <v>203.077168</v>
      </c>
    </row>
    <row r="1093" spans="1:5" x14ac:dyDescent="0.25">
      <c r="A1093" s="3">
        <v>43252</v>
      </c>
      <c r="B1093" s="2" t="s">
        <v>75</v>
      </c>
      <c r="C1093" s="44">
        <v>4583.41</v>
      </c>
      <c r="D1093" s="45">
        <v>44</v>
      </c>
      <c r="E1093" s="44">
        <v>104.168409</v>
      </c>
    </row>
    <row r="1094" spans="1:5" x14ac:dyDescent="0.25">
      <c r="A1094" s="3">
        <v>43252</v>
      </c>
      <c r="B1094" s="2" t="s">
        <v>54</v>
      </c>
      <c r="C1094" s="44">
        <v>2565.37</v>
      </c>
      <c r="D1094" s="45">
        <v>16</v>
      </c>
      <c r="E1094" s="44">
        <v>160.33562499999999</v>
      </c>
    </row>
    <row r="1095" spans="1:5" x14ac:dyDescent="0.25">
      <c r="A1095" s="3">
        <v>43252</v>
      </c>
      <c r="B1095" s="2" t="s">
        <v>13</v>
      </c>
      <c r="C1095" s="44">
        <v>19316.37</v>
      </c>
      <c r="D1095" s="45">
        <v>103</v>
      </c>
      <c r="E1095" s="44">
        <v>187.53757300000001</v>
      </c>
    </row>
    <row r="1096" spans="1:5" x14ac:dyDescent="0.25">
      <c r="A1096" s="3">
        <v>43252</v>
      </c>
      <c r="B1096" s="2" t="s">
        <v>55</v>
      </c>
      <c r="C1096" s="44">
        <v>799.44</v>
      </c>
      <c r="D1096" s="45">
        <v>11</v>
      </c>
      <c r="E1096" s="44">
        <v>72.676364000000007</v>
      </c>
    </row>
    <row r="1097" spans="1:5" x14ac:dyDescent="0.25">
      <c r="A1097" s="3">
        <v>43252</v>
      </c>
      <c r="B1097" s="2" t="s">
        <v>67</v>
      </c>
      <c r="C1097" s="44">
        <v>527</v>
      </c>
      <c r="D1097" s="45">
        <v>4</v>
      </c>
      <c r="E1097" s="44">
        <v>131.75</v>
      </c>
    </row>
    <row r="1098" spans="1:5" x14ac:dyDescent="0.25">
      <c r="A1098" s="3">
        <v>43252</v>
      </c>
      <c r="B1098" s="2" t="s">
        <v>14</v>
      </c>
      <c r="C1098" s="44">
        <v>321</v>
      </c>
      <c r="D1098" s="45">
        <v>7</v>
      </c>
      <c r="E1098" s="44">
        <v>45.857143000000001</v>
      </c>
    </row>
    <row r="1099" spans="1:5" x14ac:dyDescent="0.25">
      <c r="A1099" s="3">
        <v>43252</v>
      </c>
      <c r="B1099" s="2" t="s">
        <v>61</v>
      </c>
      <c r="C1099" s="44">
        <v>1567.07</v>
      </c>
      <c r="D1099" s="45">
        <v>33</v>
      </c>
      <c r="E1099" s="44">
        <v>47.486969999999999</v>
      </c>
    </row>
    <row r="1100" spans="1:5" x14ac:dyDescent="0.25">
      <c r="A1100" s="3">
        <v>43252</v>
      </c>
      <c r="B1100" s="2" t="s">
        <v>38</v>
      </c>
      <c r="C1100" s="44">
        <v>382.88</v>
      </c>
      <c r="D1100" s="45">
        <v>6</v>
      </c>
      <c r="E1100" s="44">
        <v>63.813333</v>
      </c>
    </row>
    <row r="1101" spans="1:5" x14ac:dyDescent="0.25">
      <c r="A1101" s="3">
        <v>43252</v>
      </c>
      <c r="B1101" s="2" t="s">
        <v>15</v>
      </c>
      <c r="C1101" s="44">
        <v>9664.57</v>
      </c>
      <c r="D1101" s="45">
        <v>191</v>
      </c>
      <c r="E1101" s="44">
        <v>50.599843</v>
      </c>
    </row>
    <row r="1102" spans="1:5" x14ac:dyDescent="0.25">
      <c r="A1102" s="3">
        <v>43252</v>
      </c>
      <c r="B1102" s="2" t="s">
        <v>17</v>
      </c>
      <c r="C1102" s="44">
        <v>7869.95</v>
      </c>
      <c r="D1102" s="45">
        <v>87</v>
      </c>
      <c r="E1102" s="44">
        <v>90.459194999999994</v>
      </c>
    </row>
    <row r="1103" spans="1:5" x14ac:dyDescent="0.25">
      <c r="A1103" s="3">
        <v>43252</v>
      </c>
      <c r="B1103" s="2" t="s">
        <v>72</v>
      </c>
      <c r="C1103" s="44">
        <v>89.99</v>
      </c>
      <c r="D1103" s="45">
        <v>1</v>
      </c>
      <c r="E1103" s="44">
        <v>89.99</v>
      </c>
    </row>
    <row r="1104" spans="1:5" x14ac:dyDescent="0.25">
      <c r="A1104" s="3">
        <v>43252</v>
      </c>
      <c r="B1104" s="2" t="s">
        <v>18</v>
      </c>
      <c r="C1104" s="44">
        <v>447.8</v>
      </c>
      <c r="D1104" s="45">
        <v>7</v>
      </c>
      <c r="E1104" s="44">
        <v>63.971429000000001</v>
      </c>
    </row>
    <row r="1105" spans="1:5" x14ac:dyDescent="0.25">
      <c r="A1105" s="3">
        <v>43252</v>
      </c>
      <c r="B1105" s="2" t="s">
        <v>19</v>
      </c>
      <c r="C1105" s="44">
        <v>1230.58</v>
      </c>
      <c r="D1105" s="45">
        <v>10</v>
      </c>
      <c r="E1105" s="44">
        <v>123.05800000000001</v>
      </c>
    </row>
    <row r="1106" spans="1:5" x14ac:dyDescent="0.25">
      <c r="A1106" s="3">
        <v>43252</v>
      </c>
      <c r="B1106" s="2" t="s">
        <v>39</v>
      </c>
      <c r="C1106" s="44">
        <v>129.30000000000001</v>
      </c>
      <c r="D1106" s="45">
        <v>7</v>
      </c>
      <c r="E1106" s="44">
        <v>18.471429000000001</v>
      </c>
    </row>
    <row r="1107" spans="1:5" x14ac:dyDescent="0.25">
      <c r="A1107" s="3">
        <v>43252</v>
      </c>
      <c r="B1107" s="2" t="s">
        <v>20</v>
      </c>
      <c r="C1107" s="44">
        <v>2080.3200000000002</v>
      </c>
      <c r="D1107" s="45">
        <v>17</v>
      </c>
      <c r="E1107" s="44">
        <v>122.371765</v>
      </c>
    </row>
    <row r="1108" spans="1:5" x14ac:dyDescent="0.25">
      <c r="A1108" s="3">
        <v>43252</v>
      </c>
      <c r="B1108" s="2" t="s">
        <v>77</v>
      </c>
      <c r="C1108" s="44">
        <v>108</v>
      </c>
      <c r="D1108" s="45">
        <v>2</v>
      </c>
      <c r="E1108" s="44">
        <v>54</v>
      </c>
    </row>
    <row r="1109" spans="1:5" x14ac:dyDescent="0.25">
      <c r="A1109" s="3">
        <v>43252</v>
      </c>
      <c r="B1109" s="2" t="s">
        <v>21</v>
      </c>
      <c r="C1109" s="44">
        <v>1371.18</v>
      </c>
      <c r="D1109" s="45">
        <v>24</v>
      </c>
      <c r="E1109" s="44">
        <v>57.1325</v>
      </c>
    </row>
    <row r="1110" spans="1:5" x14ac:dyDescent="0.25">
      <c r="A1110" s="3">
        <v>43252</v>
      </c>
      <c r="B1110" s="2" t="s">
        <v>63</v>
      </c>
      <c r="C1110" s="44">
        <v>293.85000000000002</v>
      </c>
      <c r="D1110" s="45">
        <v>11</v>
      </c>
      <c r="E1110" s="44">
        <v>26.713636000000001</v>
      </c>
    </row>
    <row r="1111" spans="1:5" x14ac:dyDescent="0.25">
      <c r="A1111" s="3">
        <v>43252</v>
      </c>
      <c r="B1111" s="2" t="s">
        <v>40</v>
      </c>
      <c r="C1111" s="44">
        <v>1559.99</v>
      </c>
      <c r="D1111" s="45">
        <v>9</v>
      </c>
      <c r="E1111" s="44">
        <v>173.332222</v>
      </c>
    </row>
    <row r="1112" spans="1:5" x14ac:dyDescent="0.25">
      <c r="A1112" s="3">
        <v>43252</v>
      </c>
      <c r="B1112" s="2" t="s">
        <v>22</v>
      </c>
      <c r="C1112" s="44">
        <v>42042.22</v>
      </c>
      <c r="D1112" s="45">
        <v>402</v>
      </c>
      <c r="E1112" s="44">
        <v>104.58263700000001</v>
      </c>
    </row>
    <row r="1113" spans="1:5" x14ac:dyDescent="0.25">
      <c r="A1113" s="3">
        <v>43252</v>
      </c>
      <c r="B1113" s="2" t="s">
        <v>41</v>
      </c>
      <c r="C1113" s="44">
        <v>3541.62</v>
      </c>
      <c r="D1113" s="45">
        <v>29</v>
      </c>
      <c r="E1113" s="44">
        <v>122.12482799999999</v>
      </c>
    </row>
    <row r="1114" spans="1:5" x14ac:dyDescent="0.25">
      <c r="A1114" s="3">
        <v>43252</v>
      </c>
      <c r="B1114" s="2" t="s">
        <v>23</v>
      </c>
      <c r="C1114" s="44">
        <v>17948.72</v>
      </c>
      <c r="D1114" s="45">
        <v>184</v>
      </c>
      <c r="E1114" s="44">
        <v>97.547391000000005</v>
      </c>
    </row>
    <row r="1115" spans="1:5" x14ac:dyDescent="0.25">
      <c r="A1115" s="3">
        <v>43252</v>
      </c>
      <c r="B1115" s="2" t="s">
        <v>5</v>
      </c>
      <c r="C1115" s="44">
        <v>106745.72</v>
      </c>
      <c r="D1115" s="45">
        <v>875</v>
      </c>
      <c r="E1115" s="44">
        <v>121.995109</v>
      </c>
    </row>
    <row r="1116" spans="1:5" x14ac:dyDescent="0.25">
      <c r="A1116" s="3">
        <v>43252</v>
      </c>
      <c r="B1116" s="2" t="s">
        <v>56</v>
      </c>
      <c r="C1116" s="44">
        <v>5830.38</v>
      </c>
      <c r="D1116" s="45">
        <v>65</v>
      </c>
      <c r="E1116" s="44">
        <v>89.698154000000002</v>
      </c>
    </row>
    <row r="1117" spans="1:5" x14ac:dyDescent="0.25">
      <c r="A1117" s="3">
        <v>43252</v>
      </c>
      <c r="B1117" s="2" t="s">
        <v>42</v>
      </c>
      <c r="C1117" s="44">
        <v>8312.7199999999993</v>
      </c>
      <c r="D1117" s="45">
        <v>19</v>
      </c>
      <c r="E1117" s="44">
        <v>437.51157899999998</v>
      </c>
    </row>
    <row r="1118" spans="1:5" x14ac:dyDescent="0.25">
      <c r="A1118" s="3">
        <v>43252</v>
      </c>
      <c r="B1118" s="2" t="s">
        <v>43</v>
      </c>
      <c r="C1118" s="44">
        <v>25.8</v>
      </c>
      <c r="D1118" s="45">
        <v>2</v>
      </c>
      <c r="E1118" s="44">
        <v>12.9</v>
      </c>
    </row>
    <row r="1119" spans="1:5" x14ac:dyDescent="0.25">
      <c r="A1119" s="3">
        <v>43252</v>
      </c>
      <c r="B1119" s="2" t="s">
        <v>57</v>
      </c>
      <c r="C1119" s="44">
        <v>2386.4899999999998</v>
      </c>
      <c r="D1119" s="45">
        <v>16</v>
      </c>
      <c r="E1119" s="44">
        <v>149.15562499999999</v>
      </c>
    </row>
    <row r="1120" spans="1:5" x14ac:dyDescent="0.25">
      <c r="A1120" s="3">
        <v>43252</v>
      </c>
      <c r="B1120" s="2" t="s">
        <v>58</v>
      </c>
      <c r="C1120" s="44">
        <v>9094.59</v>
      </c>
      <c r="D1120" s="45">
        <v>71</v>
      </c>
      <c r="E1120" s="44">
        <v>128.092817</v>
      </c>
    </row>
    <row r="1121" spans="1:5" x14ac:dyDescent="0.25">
      <c r="A1121" s="3">
        <v>43252</v>
      </c>
      <c r="B1121" s="2" t="s">
        <v>24</v>
      </c>
      <c r="C1121" s="44">
        <v>55912.61</v>
      </c>
      <c r="D1121" s="45">
        <v>577</v>
      </c>
      <c r="E1121" s="44">
        <v>96.902270000000001</v>
      </c>
    </row>
    <row r="1122" spans="1:5" x14ac:dyDescent="0.25">
      <c r="A1122" s="3">
        <v>43252</v>
      </c>
      <c r="B1122" s="2" t="s">
        <v>25</v>
      </c>
      <c r="C1122" s="44">
        <v>2609.9</v>
      </c>
      <c r="D1122" s="45">
        <v>26</v>
      </c>
      <c r="E1122" s="44">
        <v>100.380769</v>
      </c>
    </row>
    <row r="1123" spans="1:5" x14ac:dyDescent="0.25">
      <c r="A1123" s="3">
        <v>43252</v>
      </c>
      <c r="B1123" s="2" t="s">
        <v>44</v>
      </c>
      <c r="C1123" s="44">
        <v>3538.43</v>
      </c>
      <c r="D1123" s="45">
        <v>29</v>
      </c>
      <c r="E1123" s="44">
        <v>122.01482799999999</v>
      </c>
    </row>
    <row r="1124" spans="1:5" x14ac:dyDescent="0.25">
      <c r="A1124" s="3">
        <v>43252</v>
      </c>
      <c r="B1124" s="2" t="s">
        <v>45</v>
      </c>
      <c r="C1124" s="44">
        <v>5070.88</v>
      </c>
      <c r="D1124" s="45">
        <v>36</v>
      </c>
      <c r="E1124" s="44">
        <v>140.857778</v>
      </c>
    </row>
    <row r="1125" spans="1:5" x14ac:dyDescent="0.25">
      <c r="A1125" s="3">
        <v>43252</v>
      </c>
      <c r="B1125" s="2" t="s">
        <v>26</v>
      </c>
      <c r="C1125" s="44">
        <v>556.46</v>
      </c>
      <c r="D1125" s="45">
        <v>7</v>
      </c>
      <c r="E1125" s="44">
        <v>79.494286000000002</v>
      </c>
    </row>
    <row r="1126" spans="1:5" x14ac:dyDescent="0.25">
      <c r="A1126" s="3">
        <v>43252</v>
      </c>
      <c r="B1126" s="2" t="s">
        <v>46</v>
      </c>
      <c r="C1126" s="44">
        <v>109.08</v>
      </c>
      <c r="D1126" s="45">
        <v>3</v>
      </c>
      <c r="E1126" s="44">
        <v>36.36</v>
      </c>
    </row>
    <row r="1127" spans="1:5" x14ac:dyDescent="0.25">
      <c r="A1127" s="3">
        <v>43252</v>
      </c>
      <c r="B1127" s="2" t="s">
        <v>47</v>
      </c>
      <c r="C1127" s="44">
        <v>16177.92</v>
      </c>
      <c r="D1127" s="45">
        <v>47</v>
      </c>
      <c r="E1127" s="44">
        <v>344.21106400000002</v>
      </c>
    </row>
    <row r="1128" spans="1:5" x14ac:dyDescent="0.25">
      <c r="A1128" s="3">
        <v>43252</v>
      </c>
      <c r="B1128" s="2" t="s">
        <v>27</v>
      </c>
      <c r="C1128" s="44">
        <v>12125.58</v>
      </c>
      <c r="D1128" s="45">
        <v>76</v>
      </c>
      <c r="E1128" s="44">
        <v>159.54710499999999</v>
      </c>
    </row>
    <row r="1129" spans="1:5" x14ac:dyDescent="0.25">
      <c r="A1129" s="3">
        <v>43252</v>
      </c>
      <c r="B1129" s="2" t="s">
        <v>76</v>
      </c>
      <c r="C1129" s="44">
        <v>84.8</v>
      </c>
      <c r="D1129" s="45">
        <v>2</v>
      </c>
      <c r="E1129" s="44">
        <v>42.4</v>
      </c>
    </row>
    <row r="1130" spans="1:5" x14ac:dyDescent="0.25">
      <c r="A1130" s="3">
        <v>43252</v>
      </c>
      <c r="B1130" s="2" t="s">
        <v>28</v>
      </c>
      <c r="C1130" s="44">
        <v>26963.93</v>
      </c>
      <c r="D1130" s="45">
        <v>186</v>
      </c>
      <c r="E1130" s="44">
        <v>144.967366</v>
      </c>
    </row>
    <row r="1131" spans="1:5" x14ac:dyDescent="0.25">
      <c r="A1131" s="3">
        <v>43252</v>
      </c>
      <c r="B1131" s="2" t="s">
        <v>29</v>
      </c>
      <c r="C1131" s="44">
        <v>19491.78</v>
      </c>
      <c r="D1131" s="45">
        <v>178</v>
      </c>
      <c r="E1131" s="44">
        <v>109.50438200000001</v>
      </c>
    </row>
    <row r="1132" spans="1:5" x14ac:dyDescent="0.25">
      <c r="A1132" s="3">
        <v>43252</v>
      </c>
      <c r="B1132" s="2" t="s">
        <v>64</v>
      </c>
      <c r="C1132" s="44">
        <v>5863.18</v>
      </c>
      <c r="D1132" s="45">
        <v>27</v>
      </c>
      <c r="E1132" s="44">
        <v>217.15481500000001</v>
      </c>
    </row>
    <row r="1133" spans="1:5" x14ac:dyDescent="0.25">
      <c r="A1133" s="3">
        <v>43252</v>
      </c>
      <c r="B1133" s="2" t="s">
        <v>49</v>
      </c>
      <c r="C1133" s="44">
        <v>15431.63</v>
      </c>
      <c r="D1133" s="45">
        <v>49</v>
      </c>
      <c r="E1133" s="44">
        <v>314.93122399999999</v>
      </c>
    </row>
    <row r="1134" spans="1:5" x14ac:dyDescent="0.25">
      <c r="A1134" s="3">
        <v>43252</v>
      </c>
      <c r="B1134" s="2" t="s">
        <v>73</v>
      </c>
      <c r="C1134" s="44">
        <v>3499</v>
      </c>
      <c r="D1134" s="45">
        <v>3</v>
      </c>
      <c r="E1134" s="44">
        <v>1166.333333</v>
      </c>
    </row>
    <row r="1135" spans="1:5" x14ac:dyDescent="0.25">
      <c r="A1135" s="3">
        <v>43252</v>
      </c>
      <c r="B1135" s="2" t="s">
        <v>30</v>
      </c>
      <c r="C1135" s="44">
        <v>44916.01</v>
      </c>
      <c r="D1135" s="45">
        <v>419</v>
      </c>
      <c r="E1135" s="44">
        <v>107.198115</v>
      </c>
    </row>
    <row r="1136" spans="1:5" x14ac:dyDescent="0.25">
      <c r="A1136" s="3">
        <v>43252</v>
      </c>
      <c r="B1136" s="2" t="s">
        <v>50</v>
      </c>
      <c r="C1136" s="44">
        <v>12859.08</v>
      </c>
      <c r="D1136" s="45">
        <v>167</v>
      </c>
      <c r="E1136" s="44">
        <v>77.000478999999999</v>
      </c>
    </row>
    <row r="1137" spans="1:5" x14ac:dyDescent="0.25">
      <c r="A1137" s="3">
        <v>43252</v>
      </c>
      <c r="B1137" s="2" t="s">
        <v>59</v>
      </c>
      <c r="C1137" s="44">
        <v>50</v>
      </c>
      <c r="D1137" s="45">
        <v>1</v>
      </c>
      <c r="E1137" s="44">
        <v>50</v>
      </c>
    </row>
    <row r="1138" spans="1:5" x14ac:dyDescent="0.25">
      <c r="A1138" s="3">
        <v>43252</v>
      </c>
      <c r="B1138" s="2" t="s">
        <v>31</v>
      </c>
      <c r="C1138" s="44">
        <v>22669.86</v>
      </c>
      <c r="D1138" s="45">
        <v>216</v>
      </c>
      <c r="E1138" s="44">
        <v>104.953056</v>
      </c>
    </row>
    <row r="1139" spans="1:5" x14ac:dyDescent="0.25">
      <c r="A1139" s="3">
        <v>43252</v>
      </c>
      <c r="B1139" s="2" t="s">
        <v>32</v>
      </c>
      <c r="C1139" s="44">
        <v>21094.95</v>
      </c>
      <c r="D1139" s="45">
        <v>190</v>
      </c>
      <c r="E1139" s="44">
        <v>111.026053</v>
      </c>
    </row>
    <row r="1140" spans="1:5" x14ac:dyDescent="0.25">
      <c r="A1140" s="3">
        <v>43252</v>
      </c>
      <c r="B1140" s="2" t="s">
        <v>33</v>
      </c>
      <c r="C1140" s="44">
        <v>2387.13</v>
      </c>
      <c r="D1140" s="45">
        <v>23</v>
      </c>
      <c r="E1140" s="44">
        <v>103.78826100000001</v>
      </c>
    </row>
    <row r="1141" spans="1:5" x14ac:dyDescent="0.25">
      <c r="A1141" s="3">
        <v>43252</v>
      </c>
      <c r="B1141" s="2" t="s">
        <v>34</v>
      </c>
      <c r="C1141" s="44">
        <v>85027.57</v>
      </c>
      <c r="D1141" s="45">
        <v>477</v>
      </c>
      <c r="E1141" s="44">
        <v>178.254864</v>
      </c>
    </row>
    <row r="1142" spans="1:5" x14ac:dyDescent="0.25">
      <c r="A1142" s="3">
        <v>43282</v>
      </c>
      <c r="B1142" s="2" t="s">
        <v>35</v>
      </c>
      <c r="C1142" s="44">
        <v>6669.82</v>
      </c>
      <c r="D1142" s="45">
        <v>27</v>
      </c>
      <c r="E1142" s="44">
        <v>247.03037</v>
      </c>
    </row>
    <row r="1143" spans="1:5" x14ac:dyDescent="0.25">
      <c r="A1143" s="3">
        <v>43282</v>
      </c>
      <c r="B1143" s="2" t="s">
        <v>6</v>
      </c>
      <c r="C1143" s="44">
        <v>2657.86</v>
      </c>
      <c r="D1143" s="45">
        <v>17</v>
      </c>
      <c r="E1143" s="44">
        <v>156.344706</v>
      </c>
    </row>
    <row r="1144" spans="1:5" x14ac:dyDescent="0.25">
      <c r="A1144" s="3">
        <v>43282</v>
      </c>
      <c r="B1144" s="2" t="s">
        <v>60</v>
      </c>
      <c r="C1144" s="44">
        <v>1843.2</v>
      </c>
      <c r="D1144" s="45">
        <v>21</v>
      </c>
      <c r="E1144" s="44">
        <v>87.771428999999998</v>
      </c>
    </row>
    <row r="1145" spans="1:5" x14ac:dyDescent="0.25">
      <c r="A1145" s="3">
        <v>43282</v>
      </c>
      <c r="B1145" s="2" t="s">
        <v>71</v>
      </c>
      <c r="C1145" s="44">
        <v>654.57000000000005</v>
      </c>
      <c r="D1145" s="45">
        <v>11</v>
      </c>
      <c r="E1145" s="44">
        <v>59.506363999999998</v>
      </c>
    </row>
    <row r="1146" spans="1:5" x14ac:dyDescent="0.25">
      <c r="A1146" s="3">
        <v>43282</v>
      </c>
      <c r="B1146" s="2" t="s">
        <v>7</v>
      </c>
      <c r="C1146" s="44">
        <v>2062.64</v>
      </c>
      <c r="D1146" s="45">
        <v>22</v>
      </c>
      <c r="E1146" s="44">
        <v>93.756364000000005</v>
      </c>
    </row>
    <row r="1147" spans="1:5" x14ac:dyDescent="0.25">
      <c r="A1147" s="3">
        <v>43282</v>
      </c>
      <c r="B1147" s="2" t="s">
        <v>8</v>
      </c>
      <c r="C1147" s="44">
        <v>43466.79</v>
      </c>
      <c r="D1147" s="45">
        <v>341</v>
      </c>
      <c r="E1147" s="44">
        <v>127.468592</v>
      </c>
    </row>
    <row r="1148" spans="1:5" x14ac:dyDescent="0.25">
      <c r="A1148" s="3">
        <v>43282</v>
      </c>
      <c r="B1148" s="2" t="s">
        <v>9</v>
      </c>
      <c r="C1148" s="44">
        <v>21834.12</v>
      </c>
      <c r="D1148" s="45">
        <v>214</v>
      </c>
      <c r="E1148" s="44">
        <v>102.028598</v>
      </c>
    </row>
    <row r="1149" spans="1:5" x14ac:dyDescent="0.25">
      <c r="A1149" s="3">
        <v>43282</v>
      </c>
      <c r="B1149" s="2" t="s">
        <v>10</v>
      </c>
      <c r="C1149" s="44">
        <v>54405.23</v>
      </c>
      <c r="D1149" s="45">
        <v>617</v>
      </c>
      <c r="E1149" s="44">
        <v>88.177034000000006</v>
      </c>
    </row>
    <row r="1150" spans="1:5" x14ac:dyDescent="0.25">
      <c r="A1150" s="3">
        <v>43282</v>
      </c>
      <c r="B1150" s="2" t="s">
        <v>36</v>
      </c>
      <c r="C1150" s="44">
        <v>4077.45</v>
      </c>
      <c r="D1150" s="45">
        <v>25</v>
      </c>
      <c r="E1150" s="44">
        <v>163.09800000000001</v>
      </c>
    </row>
    <row r="1151" spans="1:5" x14ac:dyDescent="0.25">
      <c r="A1151" s="3">
        <v>43282</v>
      </c>
      <c r="B1151" s="2" t="s">
        <v>65</v>
      </c>
      <c r="C1151" s="44">
        <v>357.79</v>
      </c>
      <c r="D1151" s="45">
        <v>7</v>
      </c>
      <c r="E1151" s="44">
        <v>51.112856999999998</v>
      </c>
    </row>
    <row r="1152" spans="1:5" x14ac:dyDescent="0.25">
      <c r="A1152" s="3">
        <v>43282</v>
      </c>
      <c r="B1152" s="2" t="s">
        <v>51</v>
      </c>
      <c r="C1152" s="44">
        <v>1994.93</v>
      </c>
      <c r="D1152" s="45">
        <v>26</v>
      </c>
      <c r="E1152" s="44">
        <v>76.728076999999999</v>
      </c>
    </row>
    <row r="1153" spans="1:5" x14ac:dyDescent="0.25">
      <c r="A1153" s="3">
        <v>43282</v>
      </c>
      <c r="B1153" s="2" t="s">
        <v>66</v>
      </c>
      <c r="C1153" s="44">
        <v>509.56</v>
      </c>
      <c r="D1153" s="45">
        <v>8</v>
      </c>
      <c r="E1153" s="44">
        <v>63.695</v>
      </c>
    </row>
    <row r="1154" spans="1:5" x14ac:dyDescent="0.25">
      <c r="A1154" s="3">
        <v>43282</v>
      </c>
      <c r="B1154" s="2" t="s">
        <v>52</v>
      </c>
      <c r="C1154" s="44">
        <v>1178.54</v>
      </c>
      <c r="D1154" s="45">
        <v>7</v>
      </c>
      <c r="E1154" s="44">
        <v>168.36285699999999</v>
      </c>
    </row>
    <row r="1155" spans="1:5" x14ac:dyDescent="0.25">
      <c r="A1155" s="3">
        <v>43282</v>
      </c>
      <c r="B1155" s="2" t="s">
        <v>37</v>
      </c>
      <c r="C1155" s="44">
        <v>11239</v>
      </c>
      <c r="D1155" s="45">
        <v>8</v>
      </c>
      <c r="E1155" s="44">
        <v>1404.875</v>
      </c>
    </row>
    <row r="1156" spans="1:5" x14ac:dyDescent="0.25">
      <c r="A1156" s="3">
        <v>43282</v>
      </c>
      <c r="B1156" s="2" t="s">
        <v>11</v>
      </c>
      <c r="C1156" s="44">
        <v>41063.31</v>
      </c>
      <c r="D1156" s="45">
        <v>418</v>
      </c>
      <c r="E1156" s="44">
        <v>98.237583999999998</v>
      </c>
    </row>
    <row r="1157" spans="1:5" x14ac:dyDescent="0.25">
      <c r="A1157" s="3">
        <v>43282</v>
      </c>
      <c r="B1157" s="2" t="s">
        <v>12</v>
      </c>
      <c r="C1157" s="44">
        <v>8519.11</v>
      </c>
      <c r="D1157" s="45">
        <v>49</v>
      </c>
      <c r="E1157" s="44">
        <v>173.859388</v>
      </c>
    </row>
    <row r="1158" spans="1:5" x14ac:dyDescent="0.25">
      <c r="A1158" s="3">
        <v>43282</v>
      </c>
      <c r="B1158" s="2" t="s">
        <v>53</v>
      </c>
      <c r="C1158" s="44">
        <v>15237.47</v>
      </c>
      <c r="D1158" s="45">
        <v>115</v>
      </c>
      <c r="E1158" s="44">
        <v>132.49973900000001</v>
      </c>
    </row>
    <row r="1159" spans="1:5" x14ac:dyDescent="0.25">
      <c r="A1159" s="3">
        <v>43282</v>
      </c>
      <c r="B1159" s="2" t="s">
        <v>75</v>
      </c>
      <c r="C1159" s="44">
        <v>7249.61</v>
      </c>
      <c r="D1159" s="45">
        <v>55</v>
      </c>
      <c r="E1159" s="44">
        <v>131.811091</v>
      </c>
    </row>
    <row r="1160" spans="1:5" x14ac:dyDescent="0.25">
      <c r="A1160" s="3">
        <v>43282</v>
      </c>
      <c r="B1160" s="2" t="s">
        <v>54</v>
      </c>
      <c r="C1160" s="44">
        <v>1888.95</v>
      </c>
      <c r="D1160" s="45">
        <v>15</v>
      </c>
      <c r="E1160" s="44">
        <v>125.93</v>
      </c>
    </row>
    <row r="1161" spans="1:5" x14ac:dyDescent="0.25">
      <c r="A1161" s="3">
        <v>43282</v>
      </c>
      <c r="B1161" s="2" t="s">
        <v>13</v>
      </c>
      <c r="C1161" s="44">
        <v>21152.01</v>
      </c>
      <c r="D1161" s="45">
        <v>115</v>
      </c>
      <c r="E1161" s="44">
        <v>183.930522</v>
      </c>
    </row>
    <row r="1162" spans="1:5" x14ac:dyDescent="0.25">
      <c r="A1162" s="3">
        <v>43282</v>
      </c>
      <c r="B1162" s="2" t="s">
        <v>55</v>
      </c>
      <c r="C1162" s="44">
        <v>1922.66</v>
      </c>
      <c r="D1162" s="45">
        <v>22</v>
      </c>
      <c r="E1162" s="44">
        <v>87.393636000000001</v>
      </c>
    </row>
    <row r="1163" spans="1:5" x14ac:dyDescent="0.25">
      <c r="A1163" s="3">
        <v>43282</v>
      </c>
      <c r="B1163" s="2" t="s">
        <v>67</v>
      </c>
      <c r="C1163" s="44">
        <v>5501.2</v>
      </c>
      <c r="D1163" s="45">
        <v>12</v>
      </c>
      <c r="E1163" s="44">
        <v>458.433333</v>
      </c>
    </row>
    <row r="1164" spans="1:5" x14ac:dyDescent="0.25">
      <c r="A1164" s="3">
        <v>43282</v>
      </c>
      <c r="B1164" s="2" t="s">
        <v>14</v>
      </c>
      <c r="C1164" s="44">
        <v>121</v>
      </c>
      <c r="D1164" s="45">
        <v>3</v>
      </c>
      <c r="E1164" s="44">
        <v>40.333333000000003</v>
      </c>
    </row>
    <row r="1165" spans="1:5" x14ac:dyDescent="0.25">
      <c r="A1165" s="3">
        <v>43282</v>
      </c>
      <c r="B1165" s="2" t="s">
        <v>61</v>
      </c>
      <c r="C1165" s="44">
        <v>1260.17</v>
      </c>
      <c r="D1165" s="45">
        <v>16</v>
      </c>
      <c r="E1165" s="44">
        <v>78.760625000000005</v>
      </c>
    </row>
    <row r="1166" spans="1:5" x14ac:dyDescent="0.25">
      <c r="A1166" s="3">
        <v>43282</v>
      </c>
      <c r="B1166" s="2" t="s">
        <v>38</v>
      </c>
      <c r="C1166" s="44">
        <v>83.99</v>
      </c>
      <c r="D1166" s="45">
        <v>1</v>
      </c>
      <c r="E1166" s="44">
        <v>83.99</v>
      </c>
    </row>
    <row r="1167" spans="1:5" x14ac:dyDescent="0.25">
      <c r="A1167" s="3">
        <v>43282</v>
      </c>
      <c r="B1167" s="2" t="s">
        <v>15</v>
      </c>
      <c r="C1167" s="44">
        <v>9270.9500000000007</v>
      </c>
      <c r="D1167" s="45">
        <v>151</v>
      </c>
      <c r="E1167" s="44">
        <v>61.397019999999998</v>
      </c>
    </row>
    <row r="1168" spans="1:5" x14ac:dyDescent="0.25">
      <c r="A1168" s="3">
        <v>43282</v>
      </c>
      <c r="B1168" s="2" t="s">
        <v>17</v>
      </c>
      <c r="C1168" s="44">
        <v>6071.07</v>
      </c>
      <c r="D1168" s="45">
        <v>74</v>
      </c>
      <c r="E1168" s="44">
        <v>82.041486000000006</v>
      </c>
    </row>
    <row r="1169" spans="1:5" x14ac:dyDescent="0.25">
      <c r="A1169" s="3">
        <v>43282</v>
      </c>
      <c r="B1169" s="2" t="s">
        <v>18</v>
      </c>
      <c r="C1169" s="44">
        <v>208.7</v>
      </c>
      <c r="D1169" s="45">
        <v>5</v>
      </c>
      <c r="E1169" s="44">
        <v>41.74</v>
      </c>
    </row>
    <row r="1170" spans="1:5" x14ac:dyDescent="0.25">
      <c r="A1170" s="3">
        <v>43282</v>
      </c>
      <c r="B1170" s="2" t="s">
        <v>19</v>
      </c>
      <c r="C1170" s="44">
        <v>820.19</v>
      </c>
      <c r="D1170" s="45">
        <v>5</v>
      </c>
      <c r="E1170" s="44">
        <v>164.03800000000001</v>
      </c>
    </row>
    <row r="1171" spans="1:5" x14ac:dyDescent="0.25">
      <c r="A1171" s="3">
        <v>43282</v>
      </c>
      <c r="B1171" s="2" t="s">
        <v>39</v>
      </c>
      <c r="C1171" s="44">
        <v>109.8</v>
      </c>
      <c r="D1171" s="45">
        <v>2</v>
      </c>
      <c r="E1171" s="44">
        <v>54.9</v>
      </c>
    </row>
    <row r="1172" spans="1:5" x14ac:dyDescent="0.25">
      <c r="A1172" s="3">
        <v>43282</v>
      </c>
      <c r="B1172" s="2" t="s">
        <v>20</v>
      </c>
      <c r="C1172" s="44">
        <v>9319.39</v>
      </c>
      <c r="D1172" s="45">
        <v>11</v>
      </c>
      <c r="E1172" s="44">
        <v>847.21727299999998</v>
      </c>
    </row>
    <row r="1173" spans="1:5" x14ac:dyDescent="0.25">
      <c r="A1173" s="3">
        <v>43282</v>
      </c>
      <c r="B1173" s="2" t="s">
        <v>77</v>
      </c>
      <c r="C1173" s="44">
        <v>47.99</v>
      </c>
      <c r="D1173" s="45">
        <v>2</v>
      </c>
      <c r="E1173" s="44">
        <v>23.995000000000001</v>
      </c>
    </row>
    <row r="1174" spans="1:5" x14ac:dyDescent="0.25">
      <c r="A1174" s="3">
        <v>43282</v>
      </c>
      <c r="B1174" s="2" t="s">
        <v>21</v>
      </c>
      <c r="C1174" s="44">
        <v>3378.17</v>
      </c>
      <c r="D1174" s="45">
        <v>64</v>
      </c>
      <c r="E1174" s="44">
        <v>52.783906000000002</v>
      </c>
    </row>
    <row r="1175" spans="1:5" x14ac:dyDescent="0.25">
      <c r="A1175" s="3">
        <v>43282</v>
      </c>
      <c r="B1175" s="2" t="s">
        <v>63</v>
      </c>
      <c r="C1175" s="44">
        <v>778.73</v>
      </c>
      <c r="D1175" s="45">
        <v>17</v>
      </c>
      <c r="E1175" s="44">
        <v>45.807647000000003</v>
      </c>
    </row>
    <row r="1176" spans="1:5" x14ac:dyDescent="0.25">
      <c r="A1176" s="3">
        <v>43282</v>
      </c>
      <c r="B1176" s="2" t="s">
        <v>40</v>
      </c>
      <c r="C1176" s="44">
        <v>1386.9</v>
      </c>
      <c r="D1176" s="45">
        <v>10</v>
      </c>
      <c r="E1176" s="44">
        <v>138.69</v>
      </c>
    </row>
    <row r="1177" spans="1:5" x14ac:dyDescent="0.25">
      <c r="A1177" s="3">
        <v>43282</v>
      </c>
      <c r="B1177" s="2" t="s">
        <v>22</v>
      </c>
      <c r="C1177" s="44">
        <v>45393.59</v>
      </c>
      <c r="D1177" s="45">
        <v>436</v>
      </c>
      <c r="E1177" s="44">
        <v>104.113739</v>
      </c>
    </row>
    <row r="1178" spans="1:5" x14ac:dyDescent="0.25">
      <c r="A1178" s="3">
        <v>43282</v>
      </c>
      <c r="B1178" s="2" t="s">
        <v>41</v>
      </c>
      <c r="C1178" s="44">
        <v>6706.64</v>
      </c>
      <c r="D1178" s="45">
        <v>54</v>
      </c>
      <c r="E1178" s="44">
        <v>124.19703699999999</v>
      </c>
    </row>
    <row r="1179" spans="1:5" x14ac:dyDescent="0.25">
      <c r="A1179" s="3">
        <v>43282</v>
      </c>
      <c r="B1179" s="2" t="s">
        <v>68</v>
      </c>
      <c r="C1179" s="44">
        <v>129.9</v>
      </c>
      <c r="D1179" s="45">
        <v>1</v>
      </c>
      <c r="E1179" s="44">
        <v>129.9</v>
      </c>
    </row>
    <row r="1180" spans="1:5" x14ac:dyDescent="0.25">
      <c r="A1180" s="3">
        <v>43282</v>
      </c>
      <c r="B1180" s="2" t="s">
        <v>23</v>
      </c>
      <c r="C1180" s="44">
        <v>25639.88</v>
      </c>
      <c r="D1180" s="45">
        <v>177</v>
      </c>
      <c r="E1180" s="44">
        <v>144.858079</v>
      </c>
    </row>
    <row r="1181" spans="1:5" x14ac:dyDescent="0.25">
      <c r="A1181" s="3">
        <v>43282</v>
      </c>
      <c r="B1181" s="2" t="s">
        <v>5</v>
      </c>
      <c r="C1181" s="44">
        <v>103524.22</v>
      </c>
      <c r="D1181" s="45">
        <v>770</v>
      </c>
      <c r="E1181" s="44">
        <v>134.44703899999999</v>
      </c>
    </row>
    <row r="1182" spans="1:5" x14ac:dyDescent="0.25">
      <c r="A1182" s="3">
        <v>43282</v>
      </c>
      <c r="B1182" s="2" t="s">
        <v>56</v>
      </c>
      <c r="C1182" s="44">
        <v>5173.03</v>
      </c>
      <c r="D1182" s="45">
        <v>78</v>
      </c>
      <c r="E1182" s="44">
        <v>66.320897000000002</v>
      </c>
    </row>
    <row r="1183" spans="1:5" x14ac:dyDescent="0.25">
      <c r="A1183" s="3">
        <v>43282</v>
      </c>
      <c r="B1183" s="2" t="s">
        <v>42</v>
      </c>
      <c r="C1183" s="44">
        <v>12597.32</v>
      </c>
      <c r="D1183" s="45">
        <v>23</v>
      </c>
      <c r="E1183" s="44">
        <v>547.709565</v>
      </c>
    </row>
    <row r="1184" spans="1:5" x14ac:dyDescent="0.25">
      <c r="A1184" s="3">
        <v>43282</v>
      </c>
      <c r="B1184" s="2" t="s">
        <v>43</v>
      </c>
      <c r="C1184" s="44">
        <v>38.700000000000003</v>
      </c>
      <c r="D1184" s="45">
        <v>3</v>
      </c>
      <c r="E1184" s="44">
        <v>12.9</v>
      </c>
    </row>
    <row r="1185" spans="1:5" x14ac:dyDescent="0.25">
      <c r="A1185" s="3">
        <v>43282</v>
      </c>
      <c r="B1185" s="2" t="s">
        <v>57</v>
      </c>
      <c r="C1185" s="44">
        <v>2906.48</v>
      </c>
      <c r="D1185" s="45">
        <v>23</v>
      </c>
      <c r="E1185" s="44">
        <v>126.368696</v>
      </c>
    </row>
    <row r="1186" spans="1:5" x14ac:dyDescent="0.25">
      <c r="A1186" s="3">
        <v>43282</v>
      </c>
      <c r="B1186" s="2" t="s">
        <v>58</v>
      </c>
      <c r="C1186" s="44">
        <v>6700.25</v>
      </c>
      <c r="D1186" s="45">
        <v>60</v>
      </c>
      <c r="E1186" s="44">
        <v>111.670833</v>
      </c>
    </row>
    <row r="1187" spans="1:5" x14ac:dyDescent="0.25">
      <c r="A1187" s="3">
        <v>43282</v>
      </c>
      <c r="B1187" s="2" t="s">
        <v>24</v>
      </c>
      <c r="C1187" s="44">
        <v>62583.3</v>
      </c>
      <c r="D1187" s="45">
        <v>564</v>
      </c>
      <c r="E1187" s="44">
        <v>110.96329799999999</v>
      </c>
    </row>
    <row r="1188" spans="1:5" x14ac:dyDescent="0.25">
      <c r="A1188" s="3">
        <v>43282</v>
      </c>
      <c r="B1188" s="2" t="s">
        <v>25</v>
      </c>
      <c r="C1188" s="44">
        <v>4697.21</v>
      </c>
      <c r="D1188" s="45">
        <v>14</v>
      </c>
      <c r="E1188" s="44">
        <v>335.51499999999999</v>
      </c>
    </row>
    <row r="1189" spans="1:5" x14ac:dyDescent="0.25">
      <c r="A1189" s="3">
        <v>43282</v>
      </c>
      <c r="B1189" s="2" t="s">
        <v>44</v>
      </c>
      <c r="C1189" s="44">
        <v>3736.95</v>
      </c>
      <c r="D1189" s="45">
        <v>22</v>
      </c>
      <c r="E1189" s="44">
        <v>169.86136400000001</v>
      </c>
    </row>
    <row r="1190" spans="1:5" x14ac:dyDescent="0.25">
      <c r="A1190" s="3">
        <v>43282</v>
      </c>
      <c r="B1190" s="2" t="s">
        <v>45</v>
      </c>
      <c r="C1190" s="44">
        <v>5821.72</v>
      </c>
      <c r="D1190" s="45">
        <v>54</v>
      </c>
      <c r="E1190" s="44">
        <v>107.80963</v>
      </c>
    </row>
    <row r="1191" spans="1:5" x14ac:dyDescent="0.25">
      <c r="A1191" s="3">
        <v>43282</v>
      </c>
      <c r="B1191" s="2" t="s">
        <v>26</v>
      </c>
      <c r="C1191" s="44">
        <v>186.78</v>
      </c>
      <c r="D1191" s="45">
        <v>4</v>
      </c>
      <c r="E1191" s="44">
        <v>46.695</v>
      </c>
    </row>
    <row r="1192" spans="1:5" x14ac:dyDescent="0.25">
      <c r="A1192" s="3">
        <v>43282</v>
      </c>
      <c r="B1192" s="2" t="s">
        <v>46</v>
      </c>
      <c r="C1192" s="44">
        <v>849.3</v>
      </c>
      <c r="D1192" s="45">
        <v>3</v>
      </c>
      <c r="E1192" s="44">
        <v>283.10000000000002</v>
      </c>
    </row>
    <row r="1193" spans="1:5" x14ac:dyDescent="0.25">
      <c r="A1193" s="3">
        <v>43282</v>
      </c>
      <c r="B1193" s="2" t="s">
        <v>47</v>
      </c>
      <c r="C1193" s="44">
        <v>7871.93</v>
      </c>
      <c r="D1193" s="45">
        <v>36</v>
      </c>
      <c r="E1193" s="44">
        <v>218.66472200000001</v>
      </c>
    </row>
    <row r="1194" spans="1:5" x14ac:dyDescent="0.25">
      <c r="A1194" s="3">
        <v>43282</v>
      </c>
      <c r="B1194" s="2" t="s">
        <v>27</v>
      </c>
      <c r="C1194" s="44">
        <v>13225.28</v>
      </c>
      <c r="D1194" s="45">
        <v>80</v>
      </c>
      <c r="E1194" s="44">
        <v>165.316</v>
      </c>
    </row>
    <row r="1195" spans="1:5" x14ac:dyDescent="0.25">
      <c r="A1195" s="3">
        <v>43282</v>
      </c>
      <c r="B1195" s="2" t="s">
        <v>76</v>
      </c>
      <c r="C1195" s="44">
        <v>57.5</v>
      </c>
      <c r="D1195" s="45">
        <v>2</v>
      </c>
      <c r="E1195" s="44">
        <v>28.75</v>
      </c>
    </row>
    <row r="1196" spans="1:5" x14ac:dyDescent="0.25">
      <c r="A1196" s="3">
        <v>43282</v>
      </c>
      <c r="B1196" s="2" t="s">
        <v>70</v>
      </c>
      <c r="C1196" s="44">
        <v>438</v>
      </c>
      <c r="D1196" s="45">
        <v>2</v>
      </c>
      <c r="E1196" s="44">
        <v>219</v>
      </c>
    </row>
    <row r="1197" spans="1:5" x14ac:dyDescent="0.25">
      <c r="A1197" s="3">
        <v>43282</v>
      </c>
      <c r="B1197" s="2" t="s">
        <v>28</v>
      </c>
      <c r="C1197" s="44">
        <v>20645.97</v>
      </c>
      <c r="D1197" s="45">
        <v>199</v>
      </c>
      <c r="E1197" s="44">
        <v>103.748593</v>
      </c>
    </row>
    <row r="1198" spans="1:5" x14ac:dyDescent="0.25">
      <c r="A1198" s="3">
        <v>43282</v>
      </c>
      <c r="B1198" s="2" t="s">
        <v>29</v>
      </c>
      <c r="C1198" s="44">
        <v>19343.849999999999</v>
      </c>
      <c r="D1198" s="45">
        <v>158</v>
      </c>
      <c r="E1198" s="44">
        <v>122.42943</v>
      </c>
    </row>
    <row r="1199" spans="1:5" x14ac:dyDescent="0.25">
      <c r="A1199" s="3">
        <v>43282</v>
      </c>
      <c r="B1199" s="2" t="s">
        <v>78</v>
      </c>
      <c r="C1199" s="44">
        <v>172.03</v>
      </c>
      <c r="D1199" s="45">
        <v>8</v>
      </c>
      <c r="E1199" s="44">
        <v>21.50375</v>
      </c>
    </row>
    <row r="1200" spans="1:5" x14ac:dyDescent="0.25">
      <c r="A1200" s="3">
        <v>43282</v>
      </c>
      <c r="B1200" s="2" t="s">
        <v>64</v>
      </c>
      <c r="C1200" s="44">
        <v>3785.19</v>
      </c>
      <c r="D1200" s="45">
        <v>29</v>
      </c>
      <c r="E1200" s="44">
        <v>130.52379300000001</v>
      </c>
    </row>
    <row r="1201" spans="1:5" x14ac:dyDescent="0.25">
      <c r="A1201" s="3">
        <v>43282</v>
      </c>
      <c r="B1201" s="2" t="s">
        <v>49</v>
      </c>
      <c r="C1201" s="44">
        <v>8161.35</v>
      </c>
      <c r="D1201" s="45">
        <v>42</v>
      </c>
      <c r="E1201" s="44">
        <v>194.317857</v>
      </c>
    </row>
    <row r="1202" spans="1:5" x14ac:dyDescent="0.25">
      <c r="A1202" s="3">
        <v>43282</v>
      </c>
      <c r="B1202" s="2" t="s">
        <v>73</v>
      </c>
      <c r="C1202" s="44">
        <v>4699.67</v>
      </c>
      <c r="D1202" s="45">
        <v>15</v>
      </c>
      <c r="E1202" s="44">
        <v>313.31133299999999</v>
      </c>
    </row>
    <row r="1203" spans="1:5" x14ac:dyDescent="0.25">
      <c r="A1203" s="3">
        <v>43282</v>
      </c>
      <c r="B1203" s="2" t="s">
        <v>30</v>
      </c>
      <c r="C1203" s="44">
        <v>54015.89</v>
      </c>
      <c r="D1203" s="45">
        <v>460</v>
      </c>
      <c r="E1203" s="44">
        <v>117.425848</v>
      </c>
    </row>
    <row r="1204" spans="1:5" x14ac:dyDescent="0.25">
      <c r="A1204" s="3">
        <v>43282</v>
      </c>
      <c r="B1204" s="2" t="s">
        <v>50</v>
      </c>
      <c r="C1204" s="44">
        <v>17217.189999999999</v>
      </c>
      <c r="D1204" s="45">
        <v>190</v>
      </c>
      <c r="E1204" s="44">
        <v>90.616788999999997</v>
      </c>
    </row>
    <row r="1205" spans="1:5" x14ac:dyDescent="0.25">
      <c r="A1205" s="3">
        <v>43282</v>
      </c>
      <c r="B1205" s="2" t="s">
        <v>31</v>
      </c>
      <c r="C1205" s="44">
        <v>26492.68</v>
      </c>
      <c r="D1205" s="45">
        <v>221</v>
      </c>
      <c r="E1205" s="44">
        <v>119.87638</v>
      </c>
    </row>
    <row r="1206" spans="1:5" x14ac:dyDescent="0.25">
      <c r="A1206" s="3">
        <v>43282</v>
      </c>
      <c r="B1206" s="2" t="s">
        <v>32</v>
      </c>
      <c r="C1206" s="44">
        <v>17022</v>
      </c>
      <c r="D1206" s="45">
        <v>154</v>
      </c>
      <c r="E1206" s="44">
        <v>110.53246799999999</v>
      </c>
    </row>
    <row r="1207" spans="1:5" x14ac:dyDescent="0.25">
      <c r="A1207" s="3">
        <v>43282</v>
      </c>
      <c r="B1207" s="2" t="s">
        <v>33</v>
      </c>
      <c r="C1207" s="44">
        <v>4612</v>
      </c>
      <c r="D1207" s="45">
        <v>47</v>
      </c>
      <c r="E1207" s="44">
        <v>98.127660000000006</v>
      </c>
    </row>
    <row r="1208" spans="1:5" x14ac:dyDescent="0.25">
      <c r="A1208" s="3">
        <v>43282</v>
      </c>
      <c r="B1208" s="2" t="s">
        <v>34</v>
      </c>
      <c r="C1208" s="44">
        <v>95164.79</v>
      </c>
      <c r="D1208" s="45">
        <v>521</v>
      </c>
      <c r="E1208" s="44">
        <v>182.65794600000001</v>
      </c>
    </row>
    <row r="1209" spans="1:5" x14ac:dyDescent="0.25">
      <c r="A1209" s="3">
        <v>43313</v>
      </c>
      <c r="B1209" s="2" t="s">
        <v>35</v>
      </c>
      <c r="C1209" s="44">
        <v>5021.09</v>
      </c>
      <c r="D1209" s="45">
        <v>18</v>
      </c>
      <c r="E1209" s="44">
        <v>278.94944400000003</v>
      </c>
    </row>
    <row r="1210" spans="1:5" x14ac:dyDescent="0.25">
      <c r="A1210" s="3">
        <v>43313</v>
      </c>
      <c r="B1210" s="2" t="s">
        <v>6</v>
      </c>
      <c r="C1210" s="44">
        <v>3556.9</v>
      </c>
      <c r="D1210" s="45">
        <v>21</v>
      </c>
      <c r="E1210" s="44">
        <v>169.37619000000001</v>
      </c>
    </row>
    <row r="1211" spans="1:5" x14ac:dyDescent="0.25">
      <c r="A1211" s="3">
        <v>43313</v>
      </c>
      <c r="B1211" s="2" t="s">
        <v>60</v>
      </c>
      <c r="C1211" s="44">
        <v>1481.39</v>
      </c>
      <c r="D1211" s="45">
        <v>18</v>
      </c>
      <c r="E1211" s="44">
        <v>82.299443999999994</v>
      </c>
    </row>
    <row r="1212" spans="1:5" x14ac:dyDescent="0.25">
      <c r="A1212" s="3">
        <v>43313</v>
      </c>
      <c r="B1212" s="2" t="s">
        <v>71</v>
      </c>
      <c r="C1212" s="44">
        <v>901.76</v>
      </c>
      <c r="D1212" s="45">
        <v>9</v>
      </c>
      <c r="E1212" s="44">
        <v>100.195556</v>
      </c>
    </row>
    <row r="1213" spans="1:5" x14ac:dyDescent="0.25">
      <c r="A1213" s="3">
        <v>43313</v>
      </c>
      <c r="B1213" s="2" t="s">
        <v>7</v>
      </c>
      <c r="C1213" s="44">
        <v>2069.4</v>
      </c>
      <c r="D1213" s="45">
        <v>26</v>
      </c>
      <c r="E1213" s="44">
        <v>79.592308000000003</v>
      </c>
    </row>
    <row r="1214" spans="1:5" x14ac:dyDescent="0.25">
      <c r="A1214" s="3">
        <v>43313</v>
      </c>
      <c r="B1214" s="2" t="s">
        <v>8</v>
      </c>
      <c r="C1214" s="44">
        <v>45032.58</v>
      </c>
      <c r="D1214" s="45">
        <v>370</v>
      </c>
      <c r="E1214" s="44">
        <v>121.709676</v>
      </c>
    </row>
    <row r="1215" spans="1:5" x14ac:dyDescent="0.25">
      <c r="A1215" s="3">
        <v>43313</v>
      </c>
      <c r="B1215" s="2" t="s">
        <v>9</v>
      </c>
      <c r="C1215" s="44">
        <v>21266.57</v>
      </c>
      <c r="D1215" s="45">
        <v>212</v>
      </c>
      <c r="E1215" s="44">
        <v>100.314009</v>
      </c>
    </row>
    <row r="1216" spans="1:5" x14ac:dyDescent="0.25">
      <c r="A1216" s="3">
        <v>43313</v>
      </c>
      <c r="B1216" s="2" t="s">
        <v>10</v>
      </c>
      <c r="C1216" s="44">
        <v>60891.09</v>
      </c>
      <c r="D1216" s="45">
        <v>655</v>
      </c>
      <c r="E1216" s="44">
        <v>92.963496000000006</v>
      </c>
    </row>
    <row r="1217" spans="1:5" x14ac:dyDescent="0.25">
      <c r="A1217" s="3">
        <v>43313</v>
      </c>
      <c r="B1217" s="2" t="s">
        <v>36</v>
      </c>
      <c r="C1217" s="44">
        <v>1564.78</v>
      </c>
      <c r="D1217" s="45">
        <v>36</v>
      </c>
      <c r="E1217" s="44">
        <v>43.466110999999998</v>
      </c>
    </row>
    <row r="1218" spans="1:5" x14ac:dyDescent="0.25">
      <c r="A1218" s="3">
        <v>43313</v>
      </c>
      <c r="B1218" s="2" t="s">
        <v>65</v>
      </c>
      <c r="C1218" s="44">
        <v>749</v>
      </c>
      <c r="D1218" s="45">
        <v>1</v>
      </c>
      <c r="E1218" s="44">
        <v>749</v>
      </c>
    </row>
    <row r="1219" spans="1:5" x14ac:dyDescent="0.25">
      <c r="A1219" s="3">
        <v>43313</v>
      </c>
      <c r="B1219" s="2" t="s">
        <v>51</v>
      </c>
      <c r="C1219" s="44">
        <v>1483.79</v>
      </c>
      <c r="D1219" s="45">
        <v>29</v>
      </c>
      <c r="E1219" s="44">
        <v>51.165171999999998</v>
      </c>
    </row>
    <row r="1220" spans="1:5" x14ac:dyDescent="0.25">
      <c r="A1220" s="3">
        <v>43313</v>
      </c>
      <c r="B1220" s="2" t="s">
        <v>66</v>
      </c>
      <c r="C1220" s="44">
        <v>529.37</v>
      </c>
      <c r="D1220" s="45">
        <v>10</v>
      </c>
      <c r="E1220" s="44">
        <v>52.936999999999998</v>
      </c>
    </row>
    <row r="1221" spans="1:5" x14ac:dyDescent="0.25">
      <c r="A1221" s="3">
        <v>43313</v>
      </c>
      <c r="B1221" s="2" t="s">
        <v>52</v>
      </c>
      <c r="C1221" s="44">
        <v>595.29</v>
      </c>
      <c r="D1221" s="45">
        <v>9</v>
      </c>
      <c r="E1221" s="44">
        <v>66.143332999999998</v>
      </c>
    </row>
    <row r="1222" spans="1:5" x14ac:dyDescent="0.25">
      <c r="A1222" s="3">
        <v>43313</v>
      </c>
      <c r="B1222" s="2" t="s">
        <v>37</v>
      </c>
      <c r="C1222" s="44">
        <v>8711.5</v>
      </c>
      <c r="D1222" s="45">
        <v>12</v>
      </c>
      <c r="E1222" s="44">
        <v>725.95833300000004</v>
      </c>
    </row>
    <row r="1223" spans="1:5" x14ac:dyDescent="0.25">
      <c r="A1223" s="3">
        <v>43313</v>
      </c>
      <c r="B1223" s="2" t="s">
        <v>11</v>
      </c>
      <c r="C1223" s="44">
        <v>40052.639999999999</v>
      </c>
      <c r="D1223" s="45">
        <v>415</v>
      </c>
      <c r="E1223" s="44">
        <v>96.512386000000006</v>
      </c>
    </row>
    <row r="1224" spans="1:5" x14ac:dyDescent="0.25">
      <c r="A1224" s="3">
        <v>43313</v>
      </c>
      <c r="B1224" s="2" t="s">
        <v>12</v>
      </c>
      <c r="C1224" s="44">
        <v>4381.3100000000004</v>
      </c>
      <c r="D1224" s="45">
        <v>59</v>
      </c>
      <c r="E1224" s="44">
        <v>74.259491999999995</v>
      </c>
    </row>
    <row r="1225" spans="1:5" x14ac:dyDescent="0.25">
      <c r="A1225" s="3">
        <v>43313</v>
      </c>
      <c r="B1225" s="2" t="s">
        <v>53</v>
      </c>
      <c r="C1225" s="44">
        <v>22917.16</v>
      </c>
      <c r="D1225" s="45">
        <v>162</v>
      </c>
      <c r="E1225" s="44">
        <v>141.46395100000001</v>
      </c>
    </row>
    <row r="1226" spans="1:5" x14ac:dyDescent="0.25">
      <c r="A1226" s="3">
        <v>43313</v>
      </c>
      <c r="B1226" s="2" t="s">
        <v>75</v>
      </c>
      <c r="C1226" s="44">
        <v>8212.5300000000007</v>
      </c>
      <c r="D1226" s="45">
        <v>62</v>
      </c>
      <c r="E1226" s="44">
        <v>132.460161</v>
      </c>
    </row>
    <row r="1227" spans="1:5" x14ac:dyDescent="0.25">
      <c r="A1227" s="3">
        <v>43313</v>
      </c>
      <c r="B1227" s="2" t="s">
        <v>54</v>
      </c>
      <c r="C1227" s="44">
        <v>3970.22</v>
      </c>
      <c r="D1227" s="45">
        <v>25</v>
      </c>
      <c r="E1227" s="44">
        <v>158.80879999999999</v>
      </c>
    </row>
    <row r="1228" spans="1:5" x14ac:dyDescent="0.25">
      <c r="A1228" s="3">
        <v>43313</v>
      </c>
      <c r="B1228" s="2" t="s">
        <v>13</v>
      </c>
      <c r="C1228" s="44">
        <v>15794.89</v>
      </c>
      <c r="D1228" s="45">
        <v>119</v>
      </c>
      <c r="E1228" s="44">
        <v>132.73016799999999</v>
      </c>
    </row>
    <row r="1229" spans="1:5" x14ac:dyDescent="0.25">
      <c r="A1229" s="3">
        <v>43313</v>
      </c>
      <c r="B1229" s="2" t="s">
        <v>55</v>
      </c>
      <c r="C1229" s="44">
        <v>3688.76</v>
      </c>
      <c r="D1229" s="45">
        <v>23</v>
      </c>
      <c r="E1229" s="44">
        <v>160.38086999999999</v>
      </c>
    </row>
    <row r="1230" spans="1:5" x14ac:dyDescent="0.25">
      <c r="A1230" s="3">
        <v>43313</v>
      </c>
      <c r="B1230" s="2" t="s">
        <v>67</v>
      </c>
      <c r="C1230" s="44">
        <v>1255.77</v>
      </c>
      <c r="D1230" s="45">
        <v>14</v>
      </c>
      <c r="E1230" s="44">
        <v>89.697856999999999</v>
      </c>
    </row>
    <row r="1231" spans="1:5" x14ac:dyDescent="0.25">
      <c r="A1231" s="3">
        <v>43313</v>
      </c>
      <c r="B1231" s="2" t="s">
        <v>14</v>
      </c>
      <c r="C1231" s="44">
        <v>231.89</v>
      </c>
      <c r="D1231" s="45">
        <v>3</v>
      </c>
      <c r="E1231" s="44">
        <v>77.296666999999999</v>
      </c>
    </row>
    <row r="1232" spans="1:5" x14ac:dyDescent="0.25">
      <c r="A1232" s="3">
        <v>43313</v>
      </c>
      <c r="B1232" s="2" t="s">
        <v>61</v>
      </c>
      <c r="C1232" s="44">
        <v>1423.26</v>
      </c>
      <c r="D1232" s="45">
        <v>27</v>
      </c>
      <c r="E1232" s="44">
        <v>52.713332999999999</v>
      </c>
    </row>
    <row r="1233" spans="1:5" x14ac:dyDescent="0.25">
      <c r="A1233" s="3">
        <v>43313</v>
      </c>
      <c r="B1233" s="2" t="s">
        <v>38</v>
      </c>
      <c r="C1233" s="44">
        <v>8.9</v>
      </c>
      <c r="D1233" s="45">
        <v>1</v>
      </c>
      <c r="E1233" s="44">
        <v>8.9</v>
      </c>
    </row>
    <row r="1234" spans="1:5" x14ac:dyDescent="0.25">
      <c r="A1234" s="3">
        <v>43313</v>
      </c>
      <c r="B1234" s="2" t="s">
        <v>15</v>
      </c>
      <c r="C1234" s="44">
        <v>10739.57</v>
      </c>
      <c r="D1234" s="45">
        <v>119</v>
      </c>
      <c r="E1234" s="44">
        <v>90.248486999999997</v>
      </c>
    </row>
    <row r="1235" spans="1:5" x14ac:dyDescent="0.25">
      <c r="A1235" s="3">
        <v>43313</v>
      </c>
      <c r="B1235" s="2" t="s">
        <v>16</v>
      </c>
      <c r="C1235" s="44">
        <v>129.97</v>
      </c>
      <c r="D1235" s="45">
        <v>3</v>
      </c>
      <c r="E1235" s="44">
        <v>43.323332999999998</v>
      </c>
    </row>
    <row r="1236" spans="1:5" x14ac:dyDescent="0.25">
      <c r="A1236" s="3">
        <v>43313</v>
      </c>
      <c r="B1236" s="2" t="s">
        <v>17</v>
      </c>
      <c r="C1236" s="44">
        <v>8127.53</v>
      </c>
      <c r="D1236" s="45">
        <v>126</v>
      </c>
      <c r="E1236" s="44">
        <v>64.504205999999996</v>
      </c>
    </row>
    <row r="1237" spans="1:5" x14ac:dyDescent="0.25">
      <c r="A1237" s="3">
        <v>43313</v>
      </c>
      <c r="B1237" s="2" t="s">
        <v>18</v>
      </c>
      <c r="C1237" s="44">
        <v>381.69</v>
      </c>
      <c r="D1237" s="45">
        <v>3</v>
      </c>
      <c r="E1237" s="44">
        <v>127.23</v>
      </c>
    </row>
    <row r="1238" spans="1:5" x14ac:dyDescent="0.25">
      <c r="A1238" s="3">
        <v>43313</v>
      </c>
      <c r="B1238" s="2" t="s">
        <v>19</v>
      </c>
      <c r="C1238" s="44">
        <v>471.3</v>
      </c>
      <c r="D1238" s="45">
        <v>3</v>
      </c>
      <c r="E1238" s="44">
        <v>157.1</v>
      </c>
    </row>
    <row r="1239" spans="1:5" x14ac:dyDescent="0.25">
      <c r="A1239" s="3">
        <v>43313</v>
      </c>
      <c r="B1239" s="2" t="s">
        <v>62</v>
      </c>
      <c r="C1239" s="44">
        <v>69.900000000000006</v>
      </c>
      <c r="D1239" s="45">
        <v>1</v>
      </c>
      <c r="E1239" s="44">
        <v>69.900000000000006</v>
      </c>
    </row>
    <row r="1240" spans="1:5" x14ac:dyDescent="0.25">
      <c r="A1240" s="3">
        <v>43313</v>
      </c>
      <c r="B1240" s="2" t="s">
        <v>39</v>
      </c>
      <c r="C1240" s="44">
        <v>160</v>
      </c>
      <c r="D1240" s="45">
        <v>1</v>
      </c>
      <c r="E1240" s="44">
        <v>160</v>
      </c>
    </row>
    <row r="1241" spans="1:5" x14ac:dyDescent="0.25">
      <c r="A1241" s="3">
        <v>43313</v>
      </c>
      <c r="B1241" s="2" t="s">
        <v>20</v>
      </c>
      <c r="C1241" s="44">
        <v>2724.17</v>
      </c>
      <c r="D1241" s="45">
        <v>10</v>
      </c>
      <c r="E1241" s="44">
        <v>272.41699999999997</v>
      </c>
    </row>
    <row r="1242" spans="1:5" x14ac:dyDescent="0.25">
      <c r="A1242" s="3">
        <v>43313</v>
      </c>
      <c r="B1242" s="2" t="s">
        <v>21</v>
      </c>
      <c r="C1242" s="44">
        <v>8174.18</v>
      </c>
      <c r="D1242" s="45">
        <v>115</v>
      </c>
      <c r="E1242" s="44">
        <v>71.079825999999997</v>
      </c>
    </row>
    <row r="1243" spans="1:5" x14ac:dyDescent="0.25">
      <c r="A1243" s="3">
        <v>43313</v>
      </c>
      <c r="B1243" s="2" t="s">
        <v>63</v>
      </c>
      <c r="C1243" s="44">
        <v>1028.6099999999999</v>
      </c>
      <c r="D1243" s="45">
        <v>21</v>
      </c>
      <c r="E1243" s="44">
        <v>48.981428999999999</v>
      </c>
    </row>
    <row r="1244" spans="1:5" x14ac:dyDescent="0.25">
      <c r="A1244" s="3">
        <v>43313</v>
      </c>
      <c r="B1244" s="2" t="s">
        <v>40</v>
      </c>
      <c r="C1244" s="44">
        <v>2197</v>
      </c>
      <c r="D1244" s="45">
        <v>12</v>
      </c>
      <c r="E1244" s="44">
        <v>183.08333300000001</v>
      </c>
    </row>
    <row r="1245" spans="1:5" x14ac:dyDescent="0.25">
      <c r="A1245" s="3">
        <v>43313</v>
      </c>
      <c r="B1245" s="2" t="s">
        <v>22</v>
      </c>
      <c r="C1245" s="44">
        <v>41168.550000000003</v>
      </c>
      <c r="D1245" s="45">
        <v>430</v>
      </c>
      <c r="E1245" s="44">
        <v>95.740814</v>
      </c>
    </row>
    <row r="1246" spans="1:5" x14ac:dyDescent="0.25">
      <c r="A1246" s="3">
        <v>43313</v>
      </c>
      <c r="B1246" s="2" t="s">
        <v>41</v>
      </c>
      <c r="C1246" s="44">
        <v>5223.34</v>
      </c>
      <c r="D1246" s="45">
        <v>40</v>
      </c>
      <c r="E1246" s="44">
        <v>130.58349999999999</v>
      </c>
    </row>
    <row r="1247" spans="1:5" x14ac:dyDescent="0.25">
      <c r="A1247" s="3">
        <v>43313</v>
      </c>
      <c r="B1247" s="2" t="s">
        <v>23</v>
      </c>
      <c r="C1247" s="44">
        <v>16314.7</v>
      </c>
      <c r="D1247" s="45">
        <v>136</v>
      </c>
      <c r="E1247" s="44">
        <v>119.961029</v>
      </c>
    </row>
    <row r="1248" spans="1:5" x14ac:dyDescent="0.25">
      <c r="A1248" s="3">
        <v>43313</v>
      </c>
      <c r="B1248" s="2" t="s">
        <v>5</v>
      </c>
      <c r="C1248" s="44">
        <v>119391.01</v>
      </c>
      <c r="D1248" s="45">
        <v>835</v>
      </c>
      <c r="E1248" s="44">
        <v>142.98324600000001</v>
      </c>
    </row>
    <row r="1249" spans="1:5" x14ac:dyDescent="0.25">
      <c r="A1249" s="3">
        <v>43313</v>
      </c>
      <c r="B1249" s="2" t="s">
        <v>56</v>
      </c>
      <c r="C1249" s="44">
        <v>6443.85</v>
      </c>
      <c r="D1249" s="45">
        <v>63</v>
      </c>
      <c r="E1249" s="44">
        <v>102.283333</v>
      </c>
    </row>
    <row r="1250" spans="1:5" x14ac:dyDescent="0.25">
      <c r="A1250" s="3">
        <v>43313</v>
      </c>
      <c r="B1250" s="2" t="s">
        <v>42</v>
      </c>
      <c r="C1250" s="44">
        <v>7532.76</v>
      </c>
      <c r="D1250" s="45">
        <v>14</v>
      </c>
      <c r="E1250" s="44">
        <v>538.05428600000005</v>
      </c>
    </row>
    <row r="1251" spans="1:5" x14ac:dyDescent="0.25">
      <c r="A1251" s="3">
        <v>43313</v>
      </c>
      <c r="B1251" s="2" t="s">
        <v>57</v>
      </c>
      <c r="C1251" s="44">
        <v>2241.2800000000002</v>
      </c>
      <c r="D1251" s="45">
        <v>16</v>
      </c>
      <c r="E1251" s="44">
        <v>140.08000000000001</v>
      </c>
    </row>
    <row r="1252" spans="1:5" x14ac:dyDescent="0.25">
      <c r="A1252" s="3">
        <v>43313</v>
      </c>
      <c r="B1252" s="2" t="s">
        <v>58</v>
      </c>
      <c r="C1252" s="44">
        <v>6286.16</v>
      </c>
      <c r="D1252" s="45">
        <v>48</v>
      </c>
      <c r="E1252" s="44">
        <v>130.96166700000001</v>
      </c>
    </row>
    <row r="1253" spans="1:5" x14ac:dyDescent="0.25">
      <c r="A1253" s="3">
        <v>43313</v>
      </c>
      <c r="B1253" s="2" t="s">
        <v>24</v>
      </c>
      <c r="C1253" s="44">
        <v>58763.360000000001</v>
      </c>
      <c r="D1253" s="45">
        <v>616</v>
      </c>
      <c r="E1253" s="44">
        <v>95.395065000000002</v>
      </c>
    </row>
    <row r="1254" spans="1:5" x14ac:dyDescent="0.25">
      <c r="A1254" s="3">
        <v>43313</v>
      </c>
      <c r="B1254" s="2" t="s">
        <v>25</v>
      </c>
      <c r="C1254" s="44">
        <v>2364.69</v>
      </c>
      <c r="D1254" s="45">
        <v>10</v>
      </c>
      <c r="E1254" s="44">
        <v>236.46899999999999</v>
      </c>
    </row>
    <row r="1255" spans="1:5" x14ac:dyDescent="0.25">
      <c r="A1255" s="3">
        <v>43313</v>
      </c>
      <c r="B1255" s="2" t="s">
        <v>44</v>
      </c>
      <c r="C1255" s="44">
        <v>2011.47</v>
      </c>
      <c r="D1255" s="45">
        <v>20</v>
      </c>
      <c r="E1255" s="44">
        <v>100.5735</v>
      </c>
    </row>
    <row r="1256" spans="1:5" x14ac:dyDescent="0.25">
      <c r="A1256" s="3">
        <v>43313</v>
      </c>
      <c r="B1256" s="2" t="s">
        <v>45</v>
      </c>
      <c r="C1256" s="44">
        <v>6599.75</v>
      </c>
      <c r="D1256" s="45">
        <v>64</v>
      </c>
      <c r="E1256" s="44">
        <v>103.121094</v>
      </c>
    </row>
    <row r="1257" spans="1:5" x14ac:dyDescent="0.25">
      <c r="A1257" s="3">
        <v>43313</v>
      </c>
      <c r="B1257" s="2" t="s">
        <v>26</v>
      </c>
      <c r="C1257" s="44">
        <v>949.27</v>
      </c>
      <c r="D1257" s="45">
        <v>8</v>
      </c>
      <c r="E1257" s="44">
        <v>118.65875</v>
      </c>
    </row>
    <row r="1258" spans="1:5" x14ac:dyDescent="0.25">
      <c r="A1258" s="3">
        <v>43313</v>
      </c>
      <c r="B1258" s="2" t="s">
        <v>46</v>
      </c>
      <c r="C1258" s="44">
        <v>497.81</v>
      </c>
      <c r="D1258" s="45">
        <v>6</v>
      </c>
      <c r="E1258" s="44">
        <v>82.968333000000001</v>
      </c>
    </row>
    <row r="1259" spans="1:5" x14ac:dyDescent="0.25">
      <c r="A1259" s="3">
        <v>43313</v>
      </c>
      <c r="B1259" s="2" t="s">
        <v>47</v>
      </c>
      <c r="C1259" s="44">
        <v>10519.34</v>
      </c>
      <c r="D1259" s="45">
        <v>41</v>
      </c>
      <c r="E1259" s="44">
        <v>256.56926800000002</v>
      </c>
    </row>
    <row r="1260" spans="1:5" x14ac:dyDescent="0.25">
      <c r="A1260" s="3">
        <v>43313</v>
      </c>
      <c r="B1260" s="2" t="s">
        <v>27</v>
      </c>
      <c r="C1260" s="44">
        <v>6758.87</v>
      </c>
      <c r="D1260" s="45">
        <v>30</v>
      </c>
      <c r="E1260" s="44">
        <v>225.29566700000001</v>
      </c>
    </row>
    <row r="1261" spans="1:5" x14ac:dyDescent="0.25">
      <c r="A1261" s="3">
        <v>43313</v>
      </c>
      <c r="B1261" s="2" t="s">
        <v>76</v>
      </c>
      <c r="C1261" s="44">
        <v>1285.29</v>
      </c>
      <c r="D1261" s="45">
        <v>14</v>
      </c>
      <c r="E1261" s="44">
        <v>91.806428999999994</v>
      </c>
    </row>
    <row r="1262" spans="1:5" x14ac:dyDescent="0.25">
      <c r="A1262" s="3">
        <v>43313</v>
      </c>
      <c r="B1262" s="2" t="s">
        <v>70</v>
      </c>
      <c r="C1262" s="44">
        <v>219</v>
      </c>
      <c r="D1262" s="45">
        <v>1</v>
      </c>
      <c r="E1262" s="44">
        <v>219</v>
      </c>
    </row>
    <row r="1263" spans="1:5" x14ac:dyDescent="0.25">
      <c r="A1263" s="3">
        <v>43313</v>
      </c>
      <c r="B1263" s="2" t="s">
        <v>28</v>
      </c>
      <c r="C1263" s="44">
        <v>24839.74</v>
      </c>
      <c r="D1263" s="45">
        <v>218</v>
      </c>
      <c r="E1263" s="44">
        <v>113.94376099999999</v>
      </c>
    </row>
    <row r="1264" spans="1:5" x14ac:dyDescent="0.25">
      <c r="A1264" s="3">
        <v>43313</v>
      </c>
      <c r="B1264" s="2" t="s">
        <v>29</v>
      </c>
      <c r="C1264" s="44">
        <v>24608.07</v>
      </c>
      <c r="D1264" s="45">
        <v>198</v>
      </c>
      <c r="E1264" s="44">
        <v>124.283182</v>
      </c>
    </row>
    <row r="1265" spans="1:5" x14ac:dyDescent="0.25">
      <c r="A1265" s="3">
        <v>43313</v>
      </c>
      <c r="B1265" s="2" t="s">
        <v>78</v>
      </c>
      <c r="C1265" s="44">
        <v>1803.6</v>
      </c>
      <c r="D1265" s="45">
        <v>4</v>
      </c>
      <c r="E1265" s="44">
        <v>450.9</v>
      </c>
    </row>
    <row r="1266" spans="1:5" x14ac:dyDescent="0.25">
      <c r="A1266" s="3">
        <v>43313</v>
      </c>
      <c r="B1266" s="2" t="s">
        <v>64</v>
      </c>
      <c r="C1266" s="44">
        <v>1825.59</v>
      </c>
      <c r="D1266" s="45">
        <v>22</v>
      </c>
      <c r="E1266" s="44">
        <v>82.981363999999999</v>
      </c>
    </row>
    <row r="1267" spans="1:5" x14ac:dyDescent="0.25">
      <c r="A1267" s="3">
        <v>43313</v>
      </c>
      <c r="B1267" s="2" t="s">
        <v>49</v>
      </c>
      <c r="C1267" s="44">
        <v>6168.06</v>
      </c>
      <c r="D1267" s="45">
        <v>23</v>
      </c>
      <c r="E1267" s="44">
        <v>268.17652199999998</v>
      </c>
    </row>
    <row r="1268" spans="1:5" x14ac:dyDescent="0.25">
      <c r="A1268" s="3">
        <v>43313</v>
      </c>
      <c r="B1268" s="2" t="s">
        <v>73</v>
      </c>
      <c r="C1268" s="44">
        <v>2996.72</v>
      </c>
      <c r="D1268" s="45">
        <v>17</v>
      </c>
      <c r="E1268" s="44">
        <v>176.277647</v>
      </c>
    </row>
    <row r="1269" spans="1:5" x14ac:dyDescent="0.25">
      <c r="A1269" s="3">
        <v>43313</v>
      </c>
      <c r="B1269" s="2" t="s">
        <v>30</v>
      </c>
      <c r="C1269" s="44">
        <v>50860.18</v>
      </c>
      <c r="D1269" s="45">
        <v>471</v>
      </c>
      <c r="E1269" s="44">
        <v>107.983397</v>
      </c>
    </row>
    <row r="1270" spans="1:5" x14ac:dyDescent="0.25">
      <c r="A1270" s="3">
        <v>43313</v>
      </c>
      <c r="B1270" s="2" t="s">
        <v>50</v>
      </c>
      <c r="C1270" s="44">
        <v>15445.65</v>
      </c>
      <c r="D1270" s="45">
        <v>169</v>
      </c>
      <c r="E1270" s="44">
        <v>91.394379000000001</v>
      </c>
    </row>
    <row r="1271" spans="1:5" x14ac:dyDescent="0.25">
      <c r="A1271" s="3">
        <v>43313</v>
      </c>
      <c r="B1271" s="2" t="s">
        <v>31</v>
      </c>
      <c r="C1271" s="44">
        <v>36572.910000000003</v>
      </c>
      <c r="D1271" s="45">
        <v>271</v>
      </c>
      <c r="E1271" s="44">
        <v>134.955387</v>
      </c>
    </row>
    <row r="1272" spans="1:5" x14ac:dyDescent="0.25">
      <c r="A1272" s="3">
        <v>43313</v>
      </c>
      <c r="B1272" s="2" t="s">
        <v>32</v>
      </c>
      <c r="C1272" s="44">
        <v>16923.75</v>
      </c>
      <c r="D1272" s="45">
        <v>165</v>
      </c>
      <c r="E1272" s="44">
        <v>102.56818199999999</v>
      </c>
    </row>
    <row r="1273" spans="1:5" x14ac:dyDescent="0.25">
      <c r="A1273" s="3">
        <v>43313</v>
      </c>
      <c r="B1273" s="2" t="s">
        <v>33</v>
      </c>
      <c r="C1273" s="44">
        <v>2199.0500000000002</v>
      </c>
      <c r="D1273" s="45">
        <v>31</v>
      </c>
      <c r="E1273" s="44">
        <v>70.937096999999994</v>
      </c>
    </row>
    <row r="1274" spans="1:5" x14ac:dyDescent="0.25">
      <c r="A1274" s="3">
        <v>43313</v>
      </c>
      <c r="B1274" s="2" t="s">
        <v>34</v>
      </c>
      <c r="C1274" s="44">
        <v>69767.06</v>
      </c>
      <c r="D1274" s="45">
        <v>411</v>
      </c>
      <c r="E1274" s="44">
        <v>169.749538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D214-3067-4A3E-963A-AAFD3B52D18B}">
  <sheetPr>
    <tabColor rgb="FF808080"/>
  </sheetPr>
  <dimension ref="A1:G457"/>
  <sheetViews>
    <sheetView showGridLines="0" workbookViewId="0">
      <pane ySplit="1" topLeftCell="A2" activePane="bottomLeft" state="frozen"/>
      <selection pane="bottomLeft" activeCell="J441" sqref="J441"/>
    </sheetView>
  </sheetViews>
  <sheetFormatPr defaultRowHeight="15" x14ac:dyDescent="0.25"/>
  <cols>
    <col min="1" max="1" width="9.7109375" bestFit="1" customWidth="1"/>
    <col min="2" max="2" width="39.7109375" bestFit="1" customWidth="1"/>
    <col min="3" max="3" width="6.42578125" bestFit="1" customWidth="1"/>
    <col min="4" max="4" width="14.140625" bestFit="1" customWidth="1"/>
    <col min="5" max="5" width="18.140625" bestFit="1" customWidth="1"/>
    <col min="6" max="6" width="15" bestFit="1" customWidth="1"/>
    <col min="7" max="7" width="19.140625" bestFit="1" customWidth="1"/>
  </cols>
  <sheetData>
    <row r="1" spans="1:7" x14ac:dyDescent="0.25">
      <c r="A1" t="s">
        <v>0</v>
      </c>
      <c r="B1" t="s">
        <v>1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25">
      <c r="A2" s="3">
        <v>42979</v>
      </c>
      <c r="B2" s="2" t="s">
        <v>5</v>
      </c>
      <c r="C2" s="2" t="s">
        <v>84</v>
      </c>
      <c r="D2" s="46">
        <v>0.05</v>
      </c>
      <c r="E2" s="44">
        <v>141.71850000000001</v>
      </c>
      <c r="F2" s="45">
        <v>3.1500000000000004</v>
      </c>
      <c r="G2" s="44">
        <v>44.989999999999995</v>
      </c>
    </row>
    <row r="3" spans="1:7" x14ac:dyDescent="0.25">
      <c r="A3" s="3">
        <v>43009</v>
      </c>
      <c r="B3" s="2" t="s">
        <v>6</v>
      </c>
      <c r="C3" s="2" t="s">
        <v>84</v>
      </c>
      <c r="D3" s="46">
        <v>0.05</v>
      </c>
      <c r="E3" s="44">
        <v>1416.7545</v>
      </c>
      <c r="F3" s="45">
        <v>8.4</v>
      </c>
      <c r="G3" s="44">
        <v>168.66125</v>
      </c>
    </row>
    <row r="4" spans="1:7" x14ac:dyDescent="0.25">
      <c r="A4" s="3">
        <v>43009</v>
      </c>
      <c r="B4" s="2" t="s">
        <v>7</v>
      </c>
      <c r="C4" s="2" t="s">
        <v>85</v>
      </c>
      <c r="D4" s="46">
        <v>0.1</v>
      </c>
      <c r="E4" s="44">
        <v>172.68900000000002</v>
      </c>
      <c r="F4" s="45">
        <v>2.2000000000000002</v>
      </c>
      <c r="G4" s="44">
        <v>78.495000000000005</v>
      </c>
    </row>
    <row r="5" spans="1:7" x14ac:dyDescent="0.25">
      <c r="A5" s="3">
        <v>43009</v>
      </c>
      <c r="B5" s="2" t="s">
        <v>8</v>
      </c>
      <c r="C5" s="2" t="s">
        <v>84</v>
      </c>
      <c r="D5" s="46">
        <v>0.05</v>
      </c>
      <c r="E5" s="44">
        <v>1184.673</v>
      </c>
      <c r="F5" s="45">
        <v>8.4</v>
      </c>
      <c r="G5" s="44">
        <v>141.0325</v>
      </c>
    </row>
    <row r="6" spans="1:7" x14ac:dyDescent="0.25">
      <c r="A6" s="3">
        <v>43009</v>
      </c>
      <c r="B6" s="2" t="s">
        <v>9</v>
      </c>
      <c r="C6" s="2" t="s">
        <v>84</v>
      </c>
      <c r="D6" s="46">
        <v>0.05</v>
      </c>
      <c r="E6" s="44">
        <v>1439.7285000000002</v>
      </c>
      <c r="F6" s="45">
        <v>11.55</v>
      </c>
      <c r="G6" s="44">
        <v>124.65181818181819</v>
      </c>
    </row>
    <row r="7" spans="1:7" x14ac:dyDescent="0.25">
      <c r="A7" s="3">
        <v>43009</v>
      </c>
      <c r="B7" s="2" t="s">
        <v>10</v>
      </c>
      <c r="C7" s="2" t="s">
        <v>86</v>
      </c>
      <c r="D7" s="46">
        <v>0.02</v>
      </c>
      <c r="E7" s="44">
        <v>488.56980000000004</v>
      </c>
      <c r="F7" s="45">
        <v>8.16</v>
      </c>
      <c r="G7" s="44">
        <v>59.873750000000001</v>
      </c>
    </row>
    <row r="8" spans="1:7" x14ac:dyDescent="0.25">
      <c r="A8" s="3">
        <v>43009</v>
      </c>
      <c r="B8" s="2" t="s">
        <v>11</v>
      </c>
      <c r="C8" s="2" t="s">
        <v>85</v>
      </c>
      <c r="D8" s="46">
        <v>0.1</v>
      </c>
      <c r="E8" s="44">
        <v>735.92200000000003</v>
      </c>
      <c r="F8" s="45">
        <v>13.200000000000001</v>
      </c>
      <c r="G8" s="44">
        <v>55.751666666666665</v>
      </c>
    </row>
    <row r="9" spans="1:7" x14ac:dyDescent="0.25">
      <c r="A9" s="3">
        <v>43009</v>
      </c>
      <c r="B9" s="2" t="s">
        <v>12</v>
      </c>
      <c r="C9" s="2" t="s">
        <v>85</v>
      </c>
      <c r="D9" s="46">
        <v>0.1</v>
      </c>
      <c r="E9" s="44">
        <v>3981.2960000000003</v>
      </c>
      <c r="F9" s="45">
        <v>7.7000000000000011</v>
      </c>
      <c r="G9" s="44">
        <v>517.05142857142857</v>
      </c>
    </row>
    <row r="10" spans="1:7" x14ac:dyDescent="0.25">
      <c r="A10" s="3">
        <v>43009</v>
      </c>
      <c r="B10" s="2" t="s">
        <v>13</v>
      </c>
      <c r="C10" s="2" t="s">
        <v>84</v>
      </c>
      <c r="D10" s="46">
        <v>0.05</v>
      </c>
      <c r="E10" s="44">
        <v>1098.405</v>
      </c>
      <c r="F10" s="45">
        <v>7.3500000000000005</v>
      </c>
      <c r="G10" s="44">
        <v>149.44285714285712</v>
      </c>
    </row>
    <row r="11" spans="1:7" x14ac:dyDescent="0.25">
      <c r="A11" s="3">
        <v>43009</v>
      </c>
      <c r="B11" s="2" t="s">
        <v>15</v>
      </c>
      <c r="C11" s="2" t="s">
        <v>85</v>
      </c>
      <c r="D11" s="46">
        <v>0.1</v>
      </c>
      <c r="E11" s="44">
        <v>118.789</v>
      </c>
      <c r="F11" s="45">
        <v>1.1000000000000001</v>
      </c>
      <c r="G11" s="44">
        <v>107.99</v>
      </c>
    </row>
    <row r="12" spans="1:7" x14ac:dyDescent="0.25">
      <c r="A12" s="3">
        <v>43009</v>
      </c>
      <c r="B12" s="2" t="s">
        <v>17</v>
      </c>
      <c r="C12" s="2" t="s">
        <v>84</v>
      </c>
      <c r="D12" s="46">
        <v>0.05</v>
      </c>
      <c r="E12" s="44">
        <v>391.96500000000003</v>
      </c>
      <c r="F12" s="45">
        <v>8.4</v>
      </c>
      <c r="G12" s="44">
        <v>46.662500000000001</v>
      </c>
    </row>
    <row r="13" spans="1:7" x14ac:dyDescent="0.25">
      <c r="A13" s="3">
        <v>43009</v>
      </c>
      <c r="B13" s="2" t="s">
        <v>18</v>
      </c>
      <c r="C13" s="2" t="s">
        <v>84</v>
      </c>
      <c r="D13" s="46">
        <v>0.05</v>
      </c>
      <c r="E13" s="44">
        <v>26.145</v>
      </c>
      <c r="F13" s="45">
        <v>1.05</v>
      </c>
      <c r="G13" s="44">
        <v>24.9</v>
      </c>
    </row>
    <row r="14" spans="1:7" x14ac:dyDescent="0.25">
      <c r="A14" s="3">
        <v>43009</v>
      </c>
      <c r="B14" s="2" t="s">
        <v>19</v>
      </c>
      <c r="C14" s="2" t="s">
        <v>84</v>
      </c>
      <c r="D14" s="46">
        <v>0.05</v>
      </c>
      <c r="E14" s="44">
        <v>31.4895</v>
      </c>
      <c r="F14" s="45">
        <v>1.05</v>
      </c>
      <c r="G14" s="44">
        <v>29.99</v>
      </c>
    </row>
    <row r="15" spans="1:7" x14ac:dyDescent="0.25">
      <c r="A15" s="3">
        <v>43009</v>
      </c>
      <c r="B15" s="2" t="s">
        <v>20</v>
      </c>
      <c r="C15" s="2" t="s">
        <v>84</v>
      </c>
      <c r="D15" s="46">
        <v>0.05</v>
      </c>
      <c r="E15" s="44">
        <v>740.12400000000002</v>
      </c>
      <c r="F15" s="45">
        <v>5.25</v>
      </c>
      <c r="G15" s="44">
        <v>140.976</v>
      </c>
    </row>
    <row r="16" spans="1:7" x14ac:dyDescent="0.25">
      <c r="A16" s="3">
        <v>43009</v>
      </c>
      <c r="B16" s="2" t="s">
        <v>21</v>
      </c>
      <c r="C16" s="2" t="s">
        <v>84</v>
      </c>
      <c r="D16" s="46">
        <v>0.05</v>
      </c>
      <c r="E16" s="44">
        <v>83.89500000000001</v>
      </c>
      <c r="F16" s="45">
        <v>1.05</v>
      </c>
      <c r="G16" s="44">
        <v>79.900000000000006</v>
      </c>
    </row>
    <row r="17" spans="1:7" x14ac:dyDescent="0.25">
      <c r="A17" s="3">
        <v>43009</v>
      </c>
      <c r="B17" s="2" t="s">
        <v>22</v>
      </c>
      <c r="C17" s="2" t="s">
        <v>86</v>
      </c>
      <c r="D17" s="46">
        <v>0.02</v>
      </c>
      <c r="E17" s="44">
        <v>5804.3304000000007</v>
      </c>
      <c r="F17" s="45">
        <v>66.3</v>
      </c>
      <c r="G17" s="44">
        <v>87.546461538461557</v>
      </c>
    </row>
    <row r="18" spans="1:7" x14ac:dyDescent="0.25">
      <c r="A18" s="3">
        <v>43009</v>
      </c>
      <c r="B18" s="2" t="s">
        <v>23</v>
      </c>
      <c r="C18" s="2" t="s">
        <v>86</v>
      </c>
      <c r="D18" s="46">
        <v>0.02</v>
      </c>
      <c r="E18" s="44">
        <v>1387.0776000000001</v>
      </c>
      <c r="F18" s="45">
        <v>5.0999999999999996</v>
      </c>
      <c r="G18" s="44">
        <v>271.97600000000006</v>
      </c>
    </row>
    <row r="19" spans="1:7" x14ac:dyDescent="0.25">
      <c r="A19" s="3">
        <v>43009</v>
      </c>
      <c r="B19" s="2" t="s">
        <v>5</v>
      </c>
      <c r="C19" s="2" t="s">
        <v>84</v>
      </c>
      <c r="D19" s="46">
        <v>0.05</v>
      </c>
      <c r="E19" s="44">
        <v>3611.2125000000001</v>
      </c>
      <c r="F19" s="45">
        <v>42</v>
      </c>
      <c r="G19" s="44">
        <v>85.981250000000003</v>
      </c>
    </row>
    <row r="20" spans="1:7" x14ac:dyDescent="0.25">
      <c r="A20" s="3">
        <v>43009</v>
      </c>
      <c r="B20" s="2" t="s">
        <v>24</v>
      </c>
      <c r="C20" s="2" t="s">
        <v>86</v>
      </c>
      <c r="D20" s="46">
        <v>0.02</v>
      </c>
      <c r="E20" s="44">
        <v>1312.8114</v>
      </c>
      <c r="F20" s="45">
        <v>12.24</v>
      </c>
      <c r="G20" s="44">
        <v>107.25583333333334</v>
      </c>
    </row>
    <row r="21" spans="1:7" x14ac:dyDescent="0.25">
      <c r="A21" s="3">
        <v>43009</v>
      </c>
      <c r="B21" s="2" t="s">
        <v>25</v>
      </c>
      <c r="C21" s="2" t="s">
        <v>84</v>
      </c>
      <c r="D21" s="46">
        <v>0.05</v>
      </c>
      <c r="E21" s="44">
        <v>377.58000000000004</v>
      </c>
      <c r="F21" s="45">
        <v>4.2</v>
      </c>
      <c r="G21" s="44">
        <v>89.9</v>
      </c>
    </row>
    <row r="22" spans="1:7" x14ac:dyDescent="0.25">
      <c r="A22" s="3">
        <v>43009</v>
      </c>
      <c r="B22" s="2" t="s">
        <v>26</v>
      </c>
      <c r="C22" s="2" t="s">
        <v>84</v>
      </c>
      <c r="D22" s="46">
        <v>0.05</v>
      </c>
      <c r="E22" s="44">
        <v>961.05449999999996</v>
      </c>
      <c r="F22" s="45">
        <v>11.55</v>
      </c>
      <c r="G22" s="44">
        <v>83.208181818181814</v>
      </c>
    </row>
    <row r="23" spans="1:7" x14ac:dyDescent="0.25">
      <c r="A23" s="3">
        <v>43009</v>
      </c>
      <c r="B23" s="2" t="s">
        <v>27</v>
      </c>
      <c r="C23" s="2" t="s">
        <v>86</v>
      </c>
      <c r="D23" s="46">
        <v>0.02</v>
      </c>
      <c r="E23" s="44">
        <v>1326.8976000000002</v>
      </c>
      <c r="F23" s="45">
        <v>6.12</v>
      </c>
      <c r="G23" s="44">
        <v>216.81333333333336</v>
      </c>
    </row>
    <row r="24" spans="1:7" x14ac:dyDescent="0.25">
      <c r="A24" s="3">
        <v>43009</v>
      </c>
      <c r="B24" s="2" t="s">
        <v>28</v>
      </c>
      <c r="C24" s="2" t="s">
        <v>84</v>
      </c>
      <c r="D24" s="46">
        <v>0.05</v>
      </c>
      <c r="E24" s="44">
        <v>5070.5550000000003</v>
      </c>
      <c r="F24" s="45">
        <v>30.450000000000003</v>
      </c>
      <c r="G24" s="44">
        <v>166.52068965517242</v>
      </c>
    </row>
    <row r="25" spans="1:7" x14ac:dyDescent="0.25">
      <c r="A25" s="3">
        <v>43009</v>
      </c>
      <c r="B25" s="2" t="s">
        <v>29</v>
      </c>
      <c r="C25" s="2" t="s">
        <v>84</v>
      </c>
      <c r="D25" s="46">
        <v>0.05</v>
      </c>
      <c r="E25" s="44">
        <v>724.16399999999999</v>
      </c>
      <c r="F25" s="45">
        <v>4.2</v>
      </c>
      <c r="G25" s="44">
        <v>172.42</v>
      </c>
    </row>
    <row r="26" spans="1:7" x14ac:dyDescent="0.25">
      <c r="A26" s="3">
        <v>43009</v>
      </c>
      <c r="B26" s="2" t="s">
        <v>30</v>
      </c>
      <c r="C26" s="2" t="s">
        <v>84</v>
      </c>
      <c r="D26" s="46">
        <v>0.05</v>
      </c>
      <c r="E26" s="44">
        <v>2112.7575000000002</v>
      </c>
      <c r="F26" s="45">
        <v>17.850000000000001</v>
      </c>
      <c r="G26" s="44">
        <v>118.36176470588235</v>
      </c>
    </row>
    <row r="27" spans="1:7" x14ac:dyDescent="0.25">
      <c r="A27" s="3">
        <v>43009</v>
      </c>
      <c r="B27" s="2" t="s">
        <v>31</v>
      </c>
      <c r="C27" s="2" t="s">
        <v>84</v>
      </c>
      <c r="D27" s="46">
        <v>0.05</v>
      </c>
      <c r="E27" s="44">
        <v>239.7045</v>
      </c>
      <c r="F27" s="45">
        <v>8.4</v>
      </c>
      <c r="G27" s="44">
        <v>28.536249999999999</v>
      </c>
    </row>
    <row r="28" spans="1:7" x14ac:dyDescent="0.25">
      <c r="A28" s="3">
        <v>43009</v>
      </c>
      <c r="B28" s="2" t="s">
        <v>32</v>
      </c>
      <c r="C28" s="2" t="s">
        <v>84</v>
      </c>
      <c r="D28" s="46">
        <v>0.05</v>
      </c>
      <c r="E28" s="44">
        <v>4311.8249999999998</v>
      </c>
      <c r="F28" s="45">
        <v>25.200000000000003</v>
      </c>
      <c r="G28" s="44">
        <v>171.10416666666663</v>
      </c>
    </row>
    <row r="29" spans="1:7" x14ac:dyDescent="0.25">
      <c r="A29" s="3">
        <v>43009</v>
      </c>
      <c r="B29" s="2" t="s">
        <v>33</v>
      </c>
      <c r="C29" s="2" t="s">
        <v>84</v>
      </c>
      <c r="D29" s="46">
        <v>0.05</v>
      </c>
      <c r="E29" s="44">
        <v>69.1845</v>
      </c>
      <c r="F29" s="45">
        <v>2.1</v>
      </c>
      <c r="G29" s="44">
        <v>32.945</v>
      </c>
    </row>
    <row r="30" spans="1:7" x14ac:dyDescent="0.25">
      <c r="A30" s="3">
        <v>43009</v>
      </c>
      <c r="B30" s="2" t="s">
        <v>34</v>
      </c>
      <c r="C30" s="2" t="s">
        <v>84</v>
      </c>
      <c r="D30" s="46">
        <v>0.05</v>
      </c>
      <c r="E30" s="44">
        <v>2846.6235000000001</v>
      </c>
      <c r="F30" s="45">
        <v>4.2</v>
      </c>
      <c r="G30" s="44">
        <v>677.76750000000004</v>
      </c>
    </row>
    <row r="31" spans="1:7" x14ac:dyDescent="0.25">
      <c r="A31" s="3">
        <v>43070</v>
      </c>
      <c r="B31" s="2" t="s">
        <v>17</v>
      </c>
      <c r="C31" s="2" t="s">
        <v>84</v>
      </c>
      <c r="D31" s="46">
        <v>0.05</v>
      </c>
      <c r="E31" s="44">
        <v>11.445</v>
      </c>
      <c r="F31" s="45">
        <v>1.05</v>
      </c>
      <c r="G31" s="44">
        <v>10.9</v>
      </c>
    </row>
    <row r="32" spans="1:7" x14ac:dyDescent="0.25">
      <c r="A32" s="3">
        <v>43101</v>
      </c>
      <c r="B32" s="2" t="s">
        <v>35</v>
      </c>
      <c r="C32" s="2" t="s">
        <v>84</v>
      </c>
      <c r="D32" s="46">
        <v>0.05</v>
      </c>
      <c r="E32" s="44">
        <v>69.268500000000003</v>
      </c>
      <c r="F32" s="45">
        <v>3.1500000000000004</v>
      </c>
      <c r="G32" s="44">
        <v>21.99</v>
      </c>
    </row>
    <row r="33" spans="1:7" x14ac:dyDescent="0.25">
      <c r="A33" s="3">
        <v>43101</v>
      </c>
      <c r="B33" s="2" t="s">
        <v>6</v>
      </c>
      <c r="C33" s="2" t="s">
        <v>84</v>
      </c>
      <c r="D33" s="46">
        <v>0.05</v>
      </c>
      <c r="E33" s="44">
        <v>696.8850000000001</v>
      </c>
      <c r="F33" s="45">
        <v>4.2</v>
      </c>
      <c r="G33" s="44">
        <v>165.92500000000001</v>
      </c>
    </row>
    <row r="34" spans="1:7" x14ac:dyDescent="0.25">
      <c r="A34" s="3">
        <v>43101</v>
      </c>
      <c r="B34" s="2" t="s">
        <v>8</v>
      </c>
      <c r="C34" s="2" t="s">
        <v>84</v>
      </c>
      <c r="D34" s="46">
        <v>0.05</v>
      </c>
      <c r="E34" s="44">
        <v>5061.0315000000001</v>
      </c>
      <c r="F34" s="45">
        <v>32.550000000000004</v>
      </c>
      <c r="G34" s="44">
        <v>155.4848387096774</v>
      </c>
    </row>
    <row r="35" spans="1:7" x14ac:dyDescent="0.25">
      <c r="A35" s="3">
        <v>43101</v>
      </c>
      <c r="B35" s="2" t="s">
        <v>9</v>
      </c>
      <c r="C35" s="2" t="s">
        <v>84</v>
      </c>
      <c r="D35" s="46">
        <v>0.05</v>
      </c>
      <c r="E35" s="44">
        <v>6528.7740000000003</v>
      </c>
      <c r="F35" s="45">
        <v>42</v>
      </c>
      <c r="G35" s="44">
        <v>155.447</v>
      </c>
    </row>
    <row r="36" spans="1:7" x14ac:dyDescent="0.25">
      <c r="A36" s="3">
        <v>43101</v>
      </c>
      <c r="B36" s="2" t="s">
        <v>10</v>
      </c>
      <c r="C36" s="2" t="s">
        <v>86</v>
      </c>
      <c r="D36" s="46">
        <v>0.02</v>
      </c>
      <c r="E36" s="44">
        <v>3880.4472000000001</v>
      </c>
      <c r="F36" s="45">
        <v>46.92</v>
      </c>
      <c r="G36" s="44">
        <v>82.703478260869559</v>
      </c>
    </row>
    <row r="37" spans="1:7" x14ac:dyDescent="0.25">
      <c r="A37" s="3">
        <v>43101</v>
      </c>
      <c r="B37" s="2" t="s">
        <v>36</v>
      </c>
      <c r="C37" s="2" t="s">
        <v>84</v>
      </c>
      <c r="D37" s="46">
        <v>0.05</v>
      </c>
      <c r="E37" s="44">
        <v>246.6345</v>
      </c>
      <c r="F37" s="45">
        <v>2.1</v>
      </c>
      <c r="G37" s="44">
        <v>117.44499999999999</v>
      </c>
    </row>
    <row r="38" spans="1:7" x14ac:dyDescent="0.25">
      <c r="A38" s="3">
        <v>43101</v>
      </c>
      <c r="B38" s="2" t="s">
        <v>37</v>
      </c>
      <c r="C38" s="2" t="s">
        <v>85</v>
      </c>
      <c r="D38" s="46">
        <v>0.1</v>
      </c>
      <c r="E38" s="44">
        <v>2419.989</v>
      </c>
      <c r="F38" s="45">
        <v>1.1000000000000001</v>
      </c>
      <c r="G38" s="44">
        <v>2199.9899999999998</v>
      </c>
    </row>
    <row r="39" spans="1:7" x14ac:dyDescent="0.25">
      <c r="A39" s="3">
        <v>43101</v>
      </c>
      <c r="B39" s="2" t="s">
        <v>11</v>
      </c>
      <c r="C39" s="2" t="s">
        <v>85</v>
      </c>
      <c r="D39" s="46">
        <v>0.1</v>
      </c>
      <c r="E39" s="44">
        <v>4316.5540000000001</v>
      </c>
      <c r="F39" s="45">
        <v>34.1</v>
      </c>
      <c r="G39" s="44">
        <v>126.58516129032257</v>
      </c>
    </row>
    <row r="40" spans="1:7" x14ac:dyDescent="0.25">
      <c r="A40" s="3">
        <v>43101</v>
      </c>
      <c r="B40" s="2" t="s">
        <v>12</v>
      </c>
      <c r="C40" s="2" t="s">
        <v>85</v>
      </c>
      <c r="D40" s="46">
        <v>0.1</v>
      </c>
      <c r="E40" s="44">
        <v>4965.884</v>
      </c>
      <c r="F40" s="45">
        <v>23.1</v>
      </c>
      <c r="G40" s="44">
        <v>214.97333333333333</v>
      </c>
    </row>
    <row r="41" spans="1:7" x14ac:dyDescent="0.25">
      <c r="A41" s="3">
        <v>43101</v>
      </c>
      <c r="B41" s="2" t="s">
        <v>13</v>
      </c>
      <c r="C41" s="2" t="s">
        <v>84</v>
      </c>
      <c r="D41" s="46">
        <v>0.05</v>
      </c>
      <c r="E41" s="44">
        <v>7199.7134999999998</v>
      </c>
      <c r="F41" s="45">
        <v>38.85</v>
      </c>
      <c r="G41" s="44">
        <v>185.3208108108108</v>
      </c>
    </row>
    <row r="42" spans="1:7" x14ac:dyDescent="0.25">
      <c r="A42" s="3">
        <v>43101</v>
      </c>
      <c r="B42" s="2" t="s">
        <v>38</v>
      </c>
      <c r="C42" s="2" t="s">
        <v>84</v>
      </c>
      <c r="D42" s="46">
        <v>0.05</v>
      </c>
      <c r="E42" s="44">
        <v>31.290000000000003</v>
      </c>
      <c r="F42" s="45">
        <v>2.1</v>
      </c>
      <c r="G42" s="44">
        <v>14.9</v>
      </c>
    </row>
    <row r="43" spans="1:7" x14ac:dyDescent="0.25">
      <c r="A43" s="3">
        <v>43101</v>
      </c>
      <c r="B43" s="2" t="s">
        <v>15</v>
      </c>
      <c r="C43" s="2" t="s">
        <v>85</v>
      </c>
      <c r="D43" s="46">
        <v>0.1</v>
      </c>
      <c r="E43" s="44">
        <v>678.7</v>
      </c>
      <c r="F43" s="45">
        <v>12.100000000000001</v>
      </c>
      <c r="G43" s="44">
        <v>56.090909090909086</v>
      </c>
    </row>
    <row r="44" spans="1:7" x14ac:dyDescent="0.25">
      <c r="A44" s="3">
        <v>43101</v>
      </c>
      <c r="B44" s="2" t="s">
        <v>16</v>
      </c>
      <c r="C44" s="2" t="s">
        <v>84</v>
      </c>
      <c r="D44" s="46">
        <v>0.05</v>
      </c>
      <c r="E44" s="44">
        <v>81.165000000000006</v>
      </c>
      <c r="F44" s="45">
        <v>2.1</v>
      </c>
      <c r="G44" s="44">
        <v>38.65</v>
      </c>
    </row>
    <row r="45" spans="1:7" x14ac:dyDescent="0.25">
      <c r="A45" s="3">
        <v>43101</v>
      </c>
      <c r="B45" s="2" t="s">
        <v>17</v>
      </c>
      <c r="C45" s="2" t="s">
        <v>84</v>
      </c>
      <c r="D45" s="46">
        <v>0.05</v>
      </c>
      <c r="E45" s="44">
        <v>1755.5685000000001</v>
      </c>
      <c r="F45" s="45">
        <v>36.75</v>
      </c>
      <c r="G45" s="44">
        <v>47.770571428571429</v>
      </c>
    </row>
    <row r="46" spans="1:7" x14ac:dyDescent="0.25">
      <c r="A46" s="3">
        <v>43101</v>
      </c>
      <c r="B46" s="2" t="s">
        <v>18</v>
      </c>
      <c r="C46" s="2" t="s">
        <v>84</v>
      </c>
      <c r="D46" s="46">
        <v>0.05</v>
      </c>
      <c r="E46" s="44">
        <v>133.245</v>
      </c>
      <c r="F46" s="45">
        <v>1.05</v>
      </c>
      <c r="G46" s="44">
        <v>126.9</v>
      </c>
    </row>
    <row r="47" spans="1:7" x14ac:dyDescent="0.25">
      <c r="A47" s="3">
        <v>43101</v>
      </c>
      <c r="B47" s="2" t="s">
        <v>19</v>
      </c>
      <c r="C47" s="2" t="s">
        <v>84</v>
      </c>
      <c r="D47" s="46">
        <v>0.05</v>
      </c>
      <c r="E47" s="44">
        <v>36.645000000000003</v>
      </c>
      <c r="F47" s="45">
        <v>1.05</v>
      </c>
      <c r="G47" s="44">
        <v>34.9</v>
      </c>
    </row>
    <row r="48" spans="1:7" x14ac:dyDescent="0.25">
      <c r="A48" s="3">
        <v>43101</v>
      </c>
      <c r="B48" s="2" t="s">
        <v>39</v>
      </c>
      <c r="C48" s="2" t="s">
        <v>84</v>
      </c>
      <c r="D48" s="46">
        <v>0.05</v>
      </c>
      <c r="E48" s="44">
        <v>144.11250000000001</v>
      </c>
      <c r="F48" s="45">
        <v>2.1</v>
      </c>
      <c r="G48" s="44">
        <v>68.625</v>
      </c>
    </row>
    <row r="49" spans="1:7" x14ac:dyDescent="0.25">
      <c r="A49" s="3">
        <v>43101</v>
      </c>
      <c r="B49" s="2" t="s">
        <v>20</v>
      </c>
      <c r="C49" s="2" t="s">
        <v>84</v>
      </c>
      <c r="D49" s="46">
        <v>0.05</v>
      </c>
      <c r="E49" s="44">
        <v>710.976</v>
      </c>
      <c r="F49" s="45">
        <v>23.1</v>
      </c>
      <c r="G49" s="44">
        <v>30.778181818181817</v>
      </c>
    </row>
    <row r="50" spans="1:7" x14ac:dyDescent="0.25">
      <c r="A50" s="3">
        <v>43101</v>
      </c>
      <c r="B50" s="2" t="s">
        <v>21</v>
      </c>
      <c r="C50" s="2" t="s">
        <v>84</v>
      </c>
      <c r="D50" s="46">
        <v>0.05</v>
      </c>
      <c r="E50" s="44">
        <v>44.961000000000006</v>
      </c>
      <c r="F50" s="45">
        <v>2.1</v>
      </c>
      <c r="G50" s="44">
        <v>21.41</v>
      </c>
    </row>
    <row r="51" spans="1:7" x14ac:dyDescent="0.25">
      <c r="A51" s="3">
        <v>43101</v>
      </c>
      <c r="B51" s="2" t="s">
        <v>40</v>
      </c>
      <c r="C51" s="2" t="s">
        <v>86</v>
      </c>
      <c r="D51" s="46">
        <v>0.02</v>
      </c>
      <c r="E51" s="44">
        <v>74.664000000000001</v>
      </c>
      <c r="F51" s="45">
        <v>8.16</v>
      </c>
      <c r="G51" s="44">
        <v>9.15</v>
      </c>
    </row>
    <row r="52" spans="1:7" x14ac:dyDescent="0.25">
      <c r="A52" s="3">
        <v>43101</v>
      </c>
      <c r="B52" s="2" t="s">
        <v>22</v>
      </c>
      <c r="C52" s="2" t="s">
        <v>86</v>
      </c>
      <c r="D52" s="46">
        <v>0.02</v>
      </c>
      <c r="E52" s="44">
        <v>13297.362599999999</v>
      </c>
      <c r="F52" s="45">
        <v>180.54</v>
      </c>
      <c r="G52" s="44">
        <v>73.653276836158184</v>
      </c>
    </row>
    <row r="53" spans="1:7" x14ac:dyDescent="0.25">
      <c r="A53" s="3">
        <v>43101</v>
      </c>
      <c r="B53" s="2" t="s">
        <v>41</v>
      </c>
      <c r="C53" s="2" t="s">
        <v>86</v>
      </c>
      <c r="D53" s="46">
        <v>0.02</v>
      </c>
      <c r="E53" s="44">
        <v>1266.7380000000001</v>
      </c>
      <c r="F53" s="45">
        <v>10.199999999999999</v>
      </c>
      <c r="G53" s="44">
        <v>124.19000000000001</v>
      </c>
    </row>
    <row r="54" spans="1:7" x14ac:dyDescent="0.25">
      <c r="A54" s="3">
        <v>43101</v>
      </c>
      <c r="B54" s="2" t="s">
        <v>23</v>
      </c>
      <c r="C54" s="2" t="s">
        <v>86</v>
      </c>
      <c r="D54" s="46">
        <v>0.02</v>
      </c>
      <c r="E54" s="44">
        <v>7616.2889999999998</v>
      </c>
      <c r="F54" s="45">
        <v>55.08</v>
      </c>
      <c r="G54" s="44">
        <v>138.27685185185186</v>
      </c>
    </row>
    <row r="55" spans="1:7" x14ac:dyDescent="0.25">
      <c r="A55" s="3">
        <v>43101</v>
      </c>
      <c r="B55" s="2" t="s">
        <v>5</v>
      </c>
      <c r="C55" s="2" t="s">
        <v>84</v>
      </c>
      <c r="D55" s="46">
        <v>0.05</v>
      </c>
      <c r="E55" s="44">
        <v>12984.762000000001</v>
      </c>
      <c r="F55" s="45">
        <v>86.100000000000009</v>
      </c>
      <c r="G55" s="44">
        <v>150.81024390243903</v>
      </c>
    </row>
    <row r="56" spans="1:7" x14ac:dyDescent="0.25">
      <c r="A56" s="3">
        <v>43101</v>
      </c>
      <c r="B56" s="2" t="s">
        <v>42</v>
      </c>
      <c r="C56" s="2" t="s">
        <v>86</v>
      </c>
      <c r="D56" s="46">
        <v>0.02</v>
      </c>
      <c r="E56" s="44">
        <v>1955.1156000000001</v>
      </c>
      <c r="F56" s="45">
        <v>7.1400000000000006</v>
      </c>
      <c r="G56" s="44">
        <v>273.8257142857143</v>
      </c>
    </row>
    <row r="57" spans="1:7" x14ac:dyDescent="0.25">
      <c r="A57" s="3">
        <v>43101</v>
      </c>
      <c r="B57" s="2" t="s">
        <v>24</v>
      </c>
      <c r="C57" s="2" t="s">
        <v>86</v>
      </c>
      <c r="D57" s="46">
        <v>0.02</v>
      </c>
      <c r="E57" s="44">
        <v>2884.1316000000002</v>
      </c>
      <c r="F57" s="45">
        <v>28.560000000000002</v>
      </c>
      <c r="G57" s="44">
        <v>100.985</v>
      </c>
    </row>
    <row r="58" spans="1:7" x14ac:dyDescent="0.25">
      <c r="A58" s="3">
        <v>43101</v>
      </c>
      <c r="B58" s="2" t="s">
        <v>44</v>
      </c>
      <c r="C58" s="2" t="s">
        <v>86</v>
      </c>
      <c r="D58" s="46">
        <v>0.02</v>
      </c>
      <c r="E58" s="44">
        <v>112.2</v>
      </c>
      <c r="F58" s="45">
        <v>1.02</v>
      </c>
      <c r="G58" s="44">
        <v>110</v>
      </c>
    </row>
    <row r="59" spans="1:7" x14ac:dyDescent="0.25">
      <c r="A59" s="3">
        <v>43101</v>
      </c>
      <c r="B59" s="2" t="s">
        <v>45</v>
      </c>
      <c r="C59" s="2" t="s">
        <v>84</v>
      </c>
      <c r="D59" s="46">
        <v>0.05</v>
      </c>
      <c r="E59" s="44">
        <v>517.125</v>
      </c>
      <c r="F59" s="45">
        <v>5.25</v>
      </c>
      <c r="G59" s="44">
        <v>98.5</v>
      </c>
    </row>
    <row r="60" spans="1:7" x14ac:dyDescent="0.25">
      <c r="A60" s="3">
        <v>43101</v>
      </c>
      <c r="B60" s="2" t="s">
        <v>26</v>
      </c>
      <c r="C60" s="2" t="s">
        <v>84</v>
      </c>
      <c r="D60" s="46">
        <v>0.05</v>
      </c>
      <c r="E60" s="44">
        <v>434.84699999999998</v>
      </c>
      <c r="F60" s="45">
        <v>5.25</v>
      </c>
      <c r="G60" s="44">
        <v>82.828000000000003</v>
      </c>
    </row>
    <row r="61" spans="1:7" x14ac:dyDescent="0.25">
      <c r="A61" s="3">
        <v>43101</v>
      </c>
      <c r="B61" s="2" t="s">
        <v>46</v>
      </c>
      <c r="C61" s="2" t="s">
        <v>84</v>
      </c>
      <c r="D61" s="46">
        <v>0.05</v>
      </c>
      <c r="E61" s="44">
        <v>20.790000000000003</v>
      </c>
      <c r="F61" s="45">
        <v>2.1</v>
      </c>
      <c r="G61" s="44">
        <v>9.9</v>
      </c>
    </row>
    <row r="62" spans="1:7" x14ac:dyDescent="0.25">
      <c r="A62" s="3">
        <v>43101</v>
      </c>
      <c r="B62" s="2" t="s">
        <v>47</v>
      </c>
      <c r="C62" s="2" t="s">
        <v>84</v>
      </c>
      <c r="D62" s="46">
        <v>0.05</v>
      </c>
      <c r="E62" s="44">
        <v>356.72700000000003</v>
      </c>
      <c r="F62" s="45">
        <v>1.05</v>
      </c>
      <c r="G62" s="44">
        <v>339.74</v>
      </c>
    </row>
    <row r="63" spans="1:7" x14ac:dyDescent="0.25">
      <c r="A63" s="3">
        <v>43101</v>
      </c>
      <c r="B63" s="2" t="s">
        <v>27</v>
      </c>
      <c r="C63" s="2" t="s">
        <v>86</v>
      </c>
      <c r="D63" s="46">
        <v>0.02</v>
      </c>
      <c r="E63" s="44">
        <v>1181.5169999999998</v>
      </c>
      <c r="F63" s="45">
        <v>8.16</v>
      </c>
      <c r="G63" s="44">
        <v>144.79374999999999</v>
      </c>
    </row>
    <row r="64" spans="1:7" x14ac:dyDescent="0.25">
      <c r="A64" s="3">
        <v>43101</v>
      </c>
      <c r="B64" s="2" t="s">
        <v>28</v>
      </c>
      <c r="C64" s="2" t="s">
        <v>84</v>
      </c>
      <c r="D64" s="46">
        <v>0.05</v>
      </c>
      <c r="E64" s="44">
        <v>5368.2300000000005</v>
      </c>
      <c r="F64" s="45">
        <v>35.700000000000003</v>
      </c>
      <c r="G64" s="44">
        <v>150.37058823529412</v>
      </c>
    </row>
    <row r="65" spans="1:7" x14ac:dyDescent="0.25">
      <c r="A65" s="3">
        <v>43101</v>
      </c>
      <c r="B65" s="2" t="s">
        <v>29</v>
      </c>
      <c r="C65" s="2" t="s">
        <v>84</v>
      </c>
      <c r="D65" s="46">
        <v>0.05</v>
      </c>
      <c r="E65" s="44">
        <v>839.07600000000002</v>
      </c>
      <c r="F65" s="45">
        <v>14.700000000000001</v>
      </c>
      <c r="G65" s="44">
        <v>57.08</v>
      </c>
    </row>
    <row r="66" spans="1:7" x14ac:dyDescent="0.25">
      <c r="A66" s="3">
        <v>43101</v>
      </c>
      <c r="B66" s="2" t="s">
        <v>49</v>
      </c>
      <c r="C66" s="2" t="s">
        <v>84</v>
      </c>
      <c r="D66" s="46">
        <v>0.05</v>
      </c>
      <c r="E66" s="44">
        <v>1743.8295000000001</v>
      </c>
      <c r="F66" s="45">
        <v>6.3000000000000007</v>
      </c>
      <c r="G66" s="44">
        <v>276.79833333333329</v>
      </c>
    </row>
    <row r="67" spans="1:7" x14ac:dyDescent="0.25">
      <c r="A67" s="3">
        <v>43101</v>
      </c>
      <c r="B67" s="2" t="s">
        <v>30</v>
      </c>
      <c r="C67" s="2" t="s">
        <v>84</v>
      </c>
      <c r="D67" s="46">
        <v>0.05</v>
      </c>
      <c r="E67" s="44">
        <v>9672.7469999999994</v>
      </c>
      <c r="F67" s="45">
        <v>77.7</v>
      </c>
      <c r="G67" s="44">
        <v>124.48837837837837</v>
      </c>
    </row>
    <row r="68" spans="1:7" x14ac:dyDescent="0.25">
      <c r="A68" s="3">
        <v>43101</v>
      </c>
      <c r="B68" s="2" t="s">
        <v>50</v>
      </c>
      <c r="C68" s="2" t="s">
        <v>84</v>
      </c>
      <c r="D68" s="46">
        <v>0.05</v>
      </c>
      <c r="E68" s="44">
        <v>1640.0895</v>
      </c>
      <c r="F68" s="45">
        <v>14.700000000000001</v>
      </c>
      <c r="G68" s="44">
        <v>111.57071428571427</v>
      </c>
    </row>
    <row r="69" spans="1:7" x14ac:dyDescent="0.25">
      <c r="A69" s="3">
        <v>43101</v>
      </c>
      <c r="B69" s="2" t="s">
        <v>31</v>
      </c>
      <c r="C69" s="2" t="s">
        <v>84</v>
      </c>
      <c r="D69" s="46">
        <v>0.05</v>
      </c>
      <c r="E69" s="44">
        <v>793.73700000000008</v>
      </c>
      <c r="F69" s="45">
        <v>23.1</v>
      </c>
      <c r="G69" s="44">
        <v>34.36090909090909</v>
      </c>
    </row>
    <row r="70" spans="1:7" x14ac:dyDescent="0.25">
      <c r="A70" s="3">
        <v>43101</v>
      </c>
      <c r="B70" s="2" t="s">
        <v>32</v>
      </c>
      <c r="C70" s="2" t="s">
        <v>84</v>
      </c>
      <c r="D70" s="46">
        <v>0.05</v>
      </c>
      <c r="E70" s="44">
        <v>4796.5994999999994</v>
      </c>
      <c r="F70" s="45">
        <v>43.050000000000004</v>
      </c>
      <c r="G70" s="44">
        <v>111.4192682926829</v>
      </c>
    </row>
    <row r="71" spans="1:7" x14ac:dyDescent="0.25">
      <c r="A71" s="3">
        <v>43101</v>
      </c>
      <c r="B71" s="2" t="s">
        <v>33</v>
      </c>
      <c r="C71" s="2" t="s">
        <v>84</v>
      </c>
      <c r="D71" s="46">
        <v>0.05</v>
      </c>
      <c r="E71" s="44">
        <v>1683.8220000000001</v>
      </c>
      <c r="F71" s="45">
        <v>12.600000000000001</v>
      </c>
      <c r="G71" s="44">
        <v>133.63666666666666</v>
      </c>
    </row>
    <row r="72" spans="1:7" x14ac:dyDescent="0.25">
      <c r="A72" s="3">
        <v>43101</v>
      </c>
      <c r="B72" s="2" t="s">
        <v>34</v>
      </c>
      <c r="C72" s="2" t="s">
        <v>84</v>
      </c>
      <c r="D72" s="46">
        <v>0.05</v>
      </c>
      <c r="E72" s="44">
        <v>8490.8460000000014</v>
      </c>
      <c r="F72" s="45">
        <v>11.55</v>
      </c>
      <c r="G72" s="44">
        <v>735.13818181818192</v>
      </c>
    </row>
    <row r="73" spans="1:7" x14ac:dyDescent="0.25">
      <c r="A73" s="3">
        <v>43132</v>
      </c>
      <c r="B73" s="2" t="s">
        <v>35</v>
      </c>
      <c r="C73" s="2" t="s">
        <v>84</v>
      </c>
      <c r="D73" s="46">
        <v>0.05</v>
      </c>
      <c r="E73" s="44">
        <v>236.08200000000002</v>
      </c>
      <c r="F73" s="45">
        <v>7.3500000000000005</v>
      </c>
      <c r="G73" s="44">
        <v>32.119999999999997</v>
      </c>
    </row>
    <row r="74" spans="1:7" x14ac:dyDescent="0.25">
      <c r="A74" s="3">
        <v>43132</v>
      </c>
      <c r="B74" s="2" t="s">
        <v>6</v>
      </c>
      <c r="C74" s="2" t="s">
        <v>84</v>
      </c>
      <c r="D74" s="46">
        <v>0.05</v>
      </c>
      <c r="E74" s="44">
        <v>2525.5650000000005</v>
      </c>
      <c r="F74" s="45">
        <v>11.55</v>
      </c>
      <c r="G74" s="44">
        <v>218.66363636363639</v>
      </c>
    </row>
    <row r="75" spans="1:7" x14ac:dyDescent="0.25">
      <c r="A75" s="3">
        <v>43132</v>
      </c>
      <c r="B75" s="2" t="s">
        <v>7</v>
      </c>
      <c r="C75" s="2" t="s">
        <v>85</v>
      </c>
      <c r="D75" s="46">
        <v>0.1</v>
      </c>
      <c r="E75" s="44">
        <v>180.18000000000004</v>
      </c>
      <c r="F75" s="45">
        <v>5.5</v>
      </c>
      <c r="G75" s="44">
        <v>32.760000000000005</v>
      </c>
    </row>
    <row r="76" spans="1:7" x14ac:dyDescent="0.25">
      <c r="A76" s="3">
        <v>43132</v>
      </c>
      <c r="B76" s="2" t="s">
        <v>8</v>
      </c>
      <c r="C76" s="2" t="s">
        <v>84</v>
      </c>
      <c r="D76" s="46">
        <v>0.05</v>
      </c>
      <c r="E76" s="44">
        <v>12976.719000000001</v>
      </c>
      <c r="F76" s="45">
        <v>87.15</v>
      </c>
      <c r="G76" s="44">
        <v>148.90096385542168</v>
      </c>
    </row>
    <row r="77" spans="1:7" x14ac:dyDescent="0.25">
      <c r="A77" s="3">
        <v>43132</v>
      </c>
      <c r="B77" s="2" t="s">
        <v>9</v>
      </c>
      <c r="C77" s="2" t="s">
        <v>84</v>
      </c>
      <c r="D77" s="46">
        <v>0.05</v>
      </c>
      <c r="E77" s="44">
        <v>2979.4589999999998</v>
      </c>
      <c r="F77" s="45">
        <v>33.6</v>
      </c>
      <c r="G77" s="44">
        <v>88.674374999999998</v>
      </c>
    </row>
    <row r="78" spans="1:7" x14ac:dyDescent="0.25">
      <c r="A78" s="3">
        <v>43132</v>
      </c>
      <c r="B78" s="2" t="s">
        <v>10</v>
      </c>
      <c r="C78" s="2" t="s">
        <v>86</v>
      </c>
      <c r="D78" s="46">
        <v>0.02</v>
      </c>
      <c r="E78" s="44">
        <v>15883.5726</v>
      </c>
      <c r="F78" s="45">
        <v>160.14000000000001</v>
      </c>
      <c r="G78" s="44">
        <v>99.185541401273866</v>
      </c>
    </row>
    <row r="79" spans="1:7" x14ac:dyDescent="0.25">
      <c r="A79" s="3">
        <v>43132</v>
      </c>
      <c r="B79" s="2" t="s">
        <v>36</v>
      </c>
      <c r="C79" s="2" t="s">
        <v>84</v>
      </c>
      <c r="D79" s="46">
        <v>0.05</v>
      </c>
      <c r="E79" s="44">
        <v>811.34550000000013</v>
      </c>
      <c r="F79" s="45">
        <v>8.4</v>
      </c>
      <c r="G79" s="44">
        <v>96.588750000000005</v>
      </c>
    </row>
    <row r="80" spans="1:7" x14ac:dyDescent="0.25">
      <c r="A80" s="3">
        <v>43132</v>
      </c>
      <c r="B80" s="2" t="s">
        <v>51</v>
      </c>
      <c r="C80" s="2" t="s">
        <v>84</v>
      </c>
      <c r="D80" s="46">
        <v>0.05</v>
      </c>
      <c r="E80" s="44">
        <v>166.95000000000002</v>
      </c>
      <c r="F80" s="45">
        <v>1.05</v>
      </c>
      <c r="G80" s="44">
        <v>159</v>
      </c>
    </row>
    <row r="81" spans="1:7" x14ac:dyDescent="0.25">
      <c r="A81" s="3">
        <v>43132</v>
      </c>
      <c r="B81" s="2" t="s">
        <v>52</v>
      </c>
      <c r="C81" s="2" t="s">
        <v>84</v>
      </c>
      <c r="D81" s="46">
        <v>0.05</v>
      </c>
      <c r="E81" s="44">
        <v>61.95</v>
      </c>
      <c r="F81" s="45">
        <v>1.05</v>
      </c>
      <c r="G81" s="44">
        <v>59</v>
      </c>
    </row>
    <row r="82" spans="1:7" x14ac:dyDescent="0.25">
      <c r="A82" s="3">
        <v>43132</v>
      </c>
      <c r="B82" s="2" t="s">
        <v>11</v>
      </c>
      <c r="C82" s="2" t="s">
        <v>85</v>
      </c>
      <c r="D82" s="46">
        <v>0.1</v>
      </c>
      <c r="E82" s="44">
        <v>12450.999000000002</v>
      </c>
      <c r="F82" s="45">
        <v>110.00000000000001</v>
      </c>
      <c r="G82" s="44">
        <v>113.1909</v>
      </c>
    </row>
    <row r="83" spans="1:7" x14ac:dyDescent="0.25">
      <c r="A83" s="3">
        <v>43132</v>
      </c>
      <c r="B83" s="2" t="s">
        <v>12</v>
      </c>
      <c r="C83" s="2" t="s">
        <v>85</v>
      </c>
      <c r="D83" s="46">
        <v>0.1</v>
      </c>
      <c r="E83" s="44">
        <v>4724.2470000000012</v>
      </c>
      <c r="F83" s="45">
        <v>19.8</v>
      </c>
      <c r="G83" s="44">
        <v>238.59833333333339</v>
      </c>
    </row>
    <row r="84" spans="1:7" x14ac:dyDescent="0.25">
      <c r="A84" s="3">
        <v>43132</v>
      </c>
      <c r="B84" s="2" t="s">
        <v>53</v>
      </c>
      <c r="C84" s="2" t="s">
        <v>86</v>
      </c>
      <c r="D84" s="46">
        <v>0.02</v>
      </c>
      <c r="E84" s="44">
        <v>343.5258</v>
      </c>
      <c r="F84" s="45">
        <v>3.06</v>
      </c>
      <c r="G84" s="44">
        <v>112.26333333333334</v>
      </c>
    </row>
    <row r="85" spans="1:7" x14ac:dyDescent="0.25">
      <c r="A85" s="3">
        <v>43132</v>
      </c>
      <c r="B85" s="2" t="s">
        <v>54</v>
      </c>
      <c r="C85" s="2" t="s">
        <v>86</v>
      </c>
      <c r="D85" s="46">
        <v>0.02</v>
      </c>
      <c r="E85" s="44">
        <v>386.58</v>
      </c>
      <c r="F85" s="45">
        <v>1.02</v>
      </c>
      <c r="G85" s="44">
        <v>379</v>
      </c>
    </row>
    <row r="86" spans="1:7" x14ac:dyDescent="0.25">
      <c r="A86" s="3">
        <v>43132</v>
      </c>
      <c r="B86" s="2" t="s">
        <v>13</v>
      </c>
      <c r="C86" s="2" t="s">
        <v>84</v>
      </c>
      <c r="D86" s="46">
        <v>0.05</v>
      </c>
      <c r="E86" s="44">
        <v>13077.330000000002</v>
      </c>
      <c r="F86" s="45">
        <v>72.45</v>
      </c>
      <c r="G86" s="44">
        <v>180.50144927536235</v>
      </c>
    </row>
    <row r="87" spans="1:7" x14ac:dyDescent="0.25">
      <c r="A87" s="3">
        <v>43132</v>
      </c>
      <c r="B87" s="2" t="s">
        <v>55</v>
      </c>
      <c r="C87" s="2" t="s">
        <v>86</v>
      </c>
      <c r="D87" s="46">
        <v>0.02</v>
      </c>
      <c r="E87" s="44">
        <v>591.57960000000003</v>
      </c>
      <c r="F87" s="45">
        <v>2.04</v>
      </c>
      <c r="G87" s="44">
        <v>289.99</v>
      </c>
    </row>
    <row r="88" spans="1:7" x14ac:dyDescent="0.25">
      <c r="A88" s="3">
        <v>43132</v>
      </c>
      <c r="B88" s="2" t="s">
        <v>38</v>
      </c>
      <c r="C88" s="2" t="s">
        <v>84</v>
      </c>
      <c r="D88" s="46">
        <v>0.05</v>
      </c>
      <c r="E88" s="44">
        <v>15.645000000000001</v>
      </c>
      <c r="F88" s="45">
        <v>1.05</v>
      </c>
      <c r="G88" s="44">
        <v>14.9</v>
      </c>
    </row>
    <row r="89" spans="1:7" x14ac:dyDescent="0.25">
      <c r="A89" s="3">
        <v>43132</v>
      </c>
      <c r="B89" s="2" t="s">
        <v>15</v>
      </c>
      <c r="C89" s="2" t="s">
        <v>85</v>
      </c>
      <c r="D89" s="46">
        <v>0.1</v>
      </c>
      <c r="E89" s="44">
        <v>1340.7349999999999</v>
      </c>
      <c r="F89" s="45">
        <v>20.900000000000002</v>
      </c>
      <c r="G89" s="44">
        <v>64.149999999999991</v>
      </c>
    </row>
    <row r="90" spans="1:7" x14ac:dyDescent="0.25">
      <c r="A90" s="3">
        <v>43132</v>
      </c>
      <c r="B90" s="2" t="s">
        <v>16</v>
      </c>
      <c r="C90" s="2" t="s">
        <v>84</v>
      </c>
      <c r="D90" s="46">
        <v>0.05</v>
      </c>
      <c r="E90" s="44">
        <v>382.09499999999997</v>
      </c>
      <c r="F90" s="45">
        <v>3.1500000000000004</v>
      </c>
      <c r="G90" s="44">
        <v>121.29999999999998</v>
      </c>
    </row>
    <row r="91" spans="1:7" x14ac:dyDescent="0.25">
      <c r="A91" s="3">
        <v>43132</v>
      </c>
      <c r="B91" s="2" t="s">
        <v>17</v>
      </c>
      <c r="C91" s="2" t="s">
        <v>84</v>
      </c>
      <c r="D91" s="46">
        <v>0.05</v>
      </c>
      <c r="E91" s="44">
        <v>2278.8254999999999</v>
      </c>
      <c r="F91" s="45">
        <v>37.800000000000004</v>
      </c>
      <c r="G91" s="44">
        <v>60.286388888888879</v>
      </c>
    </row>
    <row r="92" spans="1:7" x14ac:dyDescent="0.25">
      <c r="A92" s="3">
        <v>43132</v>
      </c>
      <c r="B92" s="2" t="s">
        <v>18</v>
      </c>
      <c r="C92" s="2" t="s">
        <v>84</v>
      </c>
      <c r="D92" s="46">
        <v>0.05</v>
      </c>
      <c r="E92" s="44">
        <v>573.24750000000006</v>
      </c>
      <c r="F92" s="45">
        <v>6.3000000000000007</v>
      </c>
      <c r="G92" s="44">
        <v>90.99166666666666</v>
      </c>
    </row>
    <row r="93" spans="1:7" x14ac:dyDescent="0.25">
      <c r="A93" s="3">
        <v>43132</v>
      </c>
      <c r="B93" s="2" t="s">
        <v>19</v>
      </c>
      <c r="C93" s="2" t="s">
        <v>84</v>
      </c>
      <c r="D93" s="46">
        <v>0.05</v>
      </c>
      <c r="E93" s="44">
        <v>112.4025</v>
      </c>
      <c r="F93" s="45">
        <v>3.1500000000000004</v>
      </c>
      <c r="G93" s="44">
        <v>35.68333333333333</v>
      </c>
    </row>
    <row r="94" spans="1:7" x14ac:dyDescent="0.25">
      <c r="A94" s="3">
        <v>43132</v>
      </c>
      <c r="B94" s="2" t="s">
        <v>39</v>
      </c>
      <c r="C94" s="2" t="s">
        <v>84</v>
      </c>
      <c r="D94" s="46">
        <v>0.05</v>
      </c>
      <c r="E94" s="44">
        <v>416.81850000000003</v>
      </c>
      <c r="F94" s="45">
        <v>8.4</v>
      </c>
      <c r="G94" s="44">
        <v>49.621250000000003</v>
      </c>
    </row>
    <row r="95" spans="1:7" x14ac:dyDescent="0.25">
      <c r="A95" s="3">
        <v>43132</v>
      </c>
      <c r="B95" s="2" t="s">
        <v>20</v>
      </c>
      <c r="C95" s="2" t="s">
        <v>84</v>
      </c>
      <c r="D95" s="46">
        <v>0.05</v>
      </c>
      <c r="E95" s="44">
        <v>797.19150000000002</v>
      </c>
      <c r="F95" s="45">
        <v>23.1</v>
      </c>
      <c r="G95" s="44">
        <v>34.510454545454543</v>
      </c>
    </row>
    <row r="96" spans="1:7" x14ac:dyDescent="0.25">
      <c r="A96" s="3">
        <v>43132</v>
      </c>
      <c r="B96" s="2" t="s">
        <v>21</v>
      </c>
      <c r="C96" s="2" t="s">
        <v>84</v>
      </c>
      <c r="D96" s="46">
        <v>0.05</v>
      </c>
      <c r="E96" s="44">
        <v>710.56650000000002</v>
      </c>
      <c r="F96" s="45">
        <v>8.4</v>
      </c>
      <c r="G96" s="44">
        <v>84.591250000000002</v>
      </c>
    </row>
    <row r="97" spans="1:7" x14ac:dyDescent="0.25">
      <c r="A97" s="3">
        <v>43132</v>
      </c>
      <c r="B97" s="2" t="s">
        <v>40</v>
      </c>
      <c r="C97" s="2" t="s">
        <v>86</v>
      </c>
      <c r="D97" s="46">
        <v>0.02</v>
      </c>
      <c r="E97" s="44">
        <v>459</v>
      </c>
      <c r="F97" s="45">
        <v>1.02</v>
      </c>
      <c r="G97" s="44">
        <v>450</v>
      </c>
    </row>
    <row r="98" spans="1:7" x14ac:dyDescent="0.25">
      <c r="A98" s="3">
        <v>43132</v>
      </c>
      <c r="B98" s="2" t="s">
        <v>22</v>
      </c>
      <c r="C98" s="2" t="s">
        <v>86</v>
      </c>
      <c r="D98" s="46">
        <v>0.02</v>
      </c>
      <c r="E98" s="44">
        <v>20324.938200000001</v>
      </c>
      <c r="F98" s="45">
        <v>262.14</v>
      </c>
      <c r="G98" s="44">
        <v>77.534669260700397</v>
      </c>
    </row>
    <row r="99" spans="1:7" x14ac:dyDescent="0.25">
      <c r="A99" s="3">
        <v>43132</v>
      </c>
      <c r="B99" s="2" t="s">
        <v>41</v>
      </c>
      <c r="C99" s="2" t="s">
        <v>86</v>
      </c>
      <c r="D99" s="46">
        <v>0.02</v>
      </c>
      <c r="E99" s="44">
        <v>3477.8328000000001</v>
      </c>
      <c r="F99" s="45">
        <v>21.42</v>
      </c>
      <c r="G99" s="44">
        <v>162.36380952380952</v>
      </c>
    </row>
    <row r="100" spans="1:7" x14ac:dyDescent="0.25">
      <c r="A100" s="3">
        <v>43132</v>
      </c>
      <c r="B100" s="2" t="s">
        <v>23</v>
      </c>
      <c r="C100" s="2" t="s">
        <v>86</v>
      </c>
      <c r="D100" s="46">
        <v>0.02</v>
      </c>
      <c r="E100" s="44">
        <v>11969.312400000001</v>
      </c>
      <c r="F100" s="45">
        <v>70.38</v>
      </c>
      <c r="G100" s="44">
        <v>170.06695652173914</v>
      </c>
    </row>
    <row r="101" spans="1:7" x14ac:dyDescent="0.25">
      <c r="A101" s="3">
        <v>43132</v>
      </c>
      <c r="B101" s="2" t="s">
        <v>5</v>
      </c>
      <c r="C101" s="2" t="s">
        <v>84</v>
      </c>
      <c r="D101" s="46">
        <v>0.05</v>
      </c>
      <c r="E101" s="44">
        <v>23162.915999999997</v>
      </c>
      <c r="F101" s="45">
        <v>161.70000000000002</v>
      </c>
      <c r="G101" s="44">
        <v>143.24623376623373</v>
      </c>
    </row>
    <row r="102" spans="1:7" x14ac:dyDescent="0.25">
      <c r="A102" s="3">
        <v>43132</v>
      </c>
      <c r="B102" s="2" t="s">
        <v>56</v>
      </c>
      <c r="C102" s="2" t="s">
        <v>86</v>
      </c>
      <c r="D102" s="46">
        <v>0.02</v>
      </c>
      <c r="E102" s="44">
        <v>755.71799999999996</v>
      </c>
      <c r="F102" s="45">
        <v>7.1400000000000006</v>
      </c>
      <c r="G102" s="44">
        <v>105.84285714285713</v>
      </c>
    </row>
    <row r="103" spans="1:7" x14ac:dyDescent="0.25">
      <c r="A103" s="3">
        <v>43132</v>
      </c>
      <c r="B103" s="2" t="s">
        <v>42</v>
      </c>
      <c r="C103" s="2" t="s">
        <v>86</v>
      </c>
      <c r="D103" s="46">
        <v>0.02</v>
      </c>
      <c r="E103" s="44">
        <v>16.309799999999999</v>
      </c>
      <c r="F103" s="45">
        <v>1.02</v>
      </c>
      <c r="G103" s="44">
        <v>15.989999999999998</v>
      </c>
    </row>
    <row r="104" spans="1:7" x14ac:dyDescent="0.25">
      <c r="A104" s="3">
        <v>43132</v>
      </c>
      <c r="B104" s="2" t="s">
        <v>57</v>
      </c>
      <c r="C104" s="2" t="s">
        <v>86</v>
      </c>
      <c r="D104" s="46">
        <v>0.02</v>
      </c>
      <c r="E104" s="44">
        <v>422.95320000000004</v>
      </c>
      <c r="F104" s="45">
        <v>3.06</v>
      </c>
      <c r="G104" s="44">
        <v>138.22</v>
      </c>
    </row>
    <row r="105" spans="1:7" x14ac:dyDescent="0.25">
      <c r="A105" s="3">
        <v>43132</v>
      </c>
      <c r="B105" s="2" t="s">
        <v>58</v>
      </c>
      <c r="C105" s="2" t="s">
        <v>86</v>
      </c>
      <c r="D105" s="46">
        <v>0.02</v>
      </c>
      <c r="E105" s="44">
        <v>709.51200000000006</v>
      </c>
      <c r="F105" s="45">
        <v>4.08</v>
      </c>
      <c r="G105" s="44">
        <v>173.9</v>
      </c>
    </row>
    <row r="106" spans="1:7" x14ac:dyDescent="0.25">
      <c r="A106" s="3">
        <v>43132</v>
      </c>
      <c r="B106" s="2" t="s">
        <v>24</v>
      </c>
      <c r="C106" s="2" t="s">
        <v>86</v>
      </c>
      <c r="D106" s="46">
        <v>0.02</v>
      </c>
      <c r="E106" s="44">
        <v>11521.246800000001</v>
      </c>
      <c r="F106" s="45">
        <v>70.38</v>
      </c>
      <c r="G106" s="44">
        <v>163.70057971014495</v>
      </c>
    </row>
    <row r="107" spans="1:7" x14ac:dyDescent="0.25">
      <c r="A107" s="3">
        <v>43132</v>
      </c>
      <c r="B107" s="2" t="s">
        <v>25</v>
      </c>
      <c r="C107" s="2" t="s">
        <v>84</v>
      </c>
      <c r="D107" s="46">
        <v>0.05</v>
      </c>
      <c r="E107" s="44">
        <v>124.95</v>
      </c>
      <c r="F107" s="45">
        <v>1.05</v>
      </c>
      <c r="G107" s="44">
        <v>119</v>
      </c>
    </row>
    <row r="108" spans="1:7" x14ac:dyDescent="0.25">
      <c r="A108" s="3">
        <v>43132</v>
      </c>
      <c r="B108" s="2" t="s">
        <v>44</v>
      </c>
      <c r="C108" s="2" t="s">
        <v>86</v>
      </c>
      <c r="D108" s="46">
        <v>0.02</v>
      </c>
      <c r="E108" s="44">
        <v>142.69800000000001</v>
      </c>
      <c r="F108" s="45">
        <v>2.04</v>
      </c>
      <c r="G108" s="44">
        <v>69.95</v>
      </c>
    </row>
    <row r="109" spans="1:7" x14ac:dyDescent="0.25">
      <c r="A109" s="3">
        <v>43132</v>
      </c>
      <c r="B109" s="2" t="s">
        <v>45</v>
      </c>
      <c r="C109" s="2" t="s">
        <v>84</v>
      </c>
      <c r="D109" s="46">
        <v>0.05</v>
      </c>
      <c r="E109" s="44">
        <v>1742.1495000000002</v>
      </c>
      <c r="F109" s="45">
        <v>21</v>
      </c>
      <c r="G109" s="44">
        <v>82.959500000000006</v>
      </c>
    </row>
    <row r="110" spans="1:7" x14ac:dyDescent="0.25">
      <c r="A110" s="3">
        <v>43132</v>
      </c>
      <c r="B110" s="2" t="s">
        <v>26</v>
      </c>
      <c r="C110" s="2" t="s">
        <v>84</v>
      </c>
      <c r="D110" s="46">
        <v>0.05</v>
      </c>
      <c r="E110" s="44">
        <v>1652.931</v>
      </c>
      <c r="F110" s="45">
        <v>21</v>
      </c>
      <c r="G110" s="44">
        <v>78.710999999999999</v>
      </c>
    </row>
    <row r="111" spans="1:7" x14ac:dyDescent="0.25">
      <c r="A111" s="3">
        <v>43132</v>
      </c>
      <c r="B111" s="2" t="s">
        <v>47</v>
      </c>
      <c r="C111" s="2" t="s">
        <v>84</v>
      </c>
      <c r="D111" s="46">
        <v>0.05</v>
      </c>
      <c r="E111" s="44">
        <v>2332.3440000000005</v>
      </c>
      <c r="F111" s="45">
        <v>9.4500000000000011</v>
      </c>
      <c r="G111" s="44">
        <v>246.8088888888889</v>
      </c>
    </row>
    <row r="112" spans="1:7" x14ac:dyDescent="0.25">
      <c r="A112" s="3">
        <v>43132</v>
      </c>
      <c r="B112" s="2" t="s">
        <v>27</v>
      </c>
      <c r="C112" s="2" t="s">
        <v>86</v>
      </c>
      <c r="D112" s="46">
        <v>0.02</v>
      </c>
      <c r="E112" s="44">
        <v>11062.899600000001</v>
      </c>
      <c r="F112" s="45">
        <v>63.24</v>
      </c>
      <c r="G112" s="44">
        <v>174.93516129032258</v>
      </c>
    </row>
    <row r="113" spans="1:7" x14ac:dyDescent="0.25">
      <c r="A113" s="3">
        <v>43132</v>
      </c>
      <c r="B113" s="2" t="s">
        <v>28</v>
      </c>
      <c r="C113" s="2" t="s">
        <v>84</v>
      </c>
      <c r="D113" s="46">
        <v>0.05</v>
      </c>
      <c r="E113" s="44">
        <v>8442.3990000000013</v>
      </c>
      <c r="F113" s="45">
        <v>51.45</v>
      </c>
      <c r="G113" s="44">
        <v>164.08938775510205</v>
      </c>
    </row>
    <row r="114" spans="1:7" x14ac:dyDescent="0.25">
      <c r="A114" s="3">
        <v>43132</v>
      </c>
      <c r="B114" s="2" t="s">
        <v>29</v>
      </c>
      <c r="C114" s="2" t="s">
        <v>84</v>
      </c>
      <c r="D114" s="46">
        <v>0.05</v>
      </c>
      <c r="E114" s="44">
        <v>3764.1134999999999</v>
      </c>
      <c r="F114" s="45">
        <v>40.950000000000003</v>
      </c>
      <c r="G114" s="44">
        <v>91.919743589743575</v>
      </c>
    </row>
    <row r="115" spans="1:7" x14ac:dyDescent="0.25">
      <c r="A115" s="3">
        <v>43132</v>
      </c>
      <c r="B115" s="2" t="s">
        <v>49</v>
      </c>
      <c r="C115" s="2" t="s">
        <v>84</v>
      </c>
      <c r="D115" s="46">
        <v>0.05</v>
      </c>
      <c r="E115" s="44">
        <v>7614.1590000000006</v>
      </c>
      <c r="F115" s="45">
        <v>29.400000000000002</v>
      </c>
      <c r="G115" s="44">
        <v>258.98500000000001</v>
      </c>
    </row>
    <row r="116" spans="1:7" x14ac:dyDescent="0.25">
      <c r="A116" s="3">
        <v>43132</v>
      </c>
      <c r="B116" s="2" t="s">
        <v>30</v>
      </c>
      <c r="C116" s="2" t="s">
        <v>84</v>
      </c>
      <c r="D116" s="46">
        <v>0.05</v>
      </c>
      <c r="E116" s="44">
        <v>16411.478999999999</v>
      </c>
      <c r="F116" s="45">
        <v>156.45000000000002</v>
      </c>
      <c r="G116" s="44">
        <v>104.89919463087247</v>
      </c>
    </row>
    <row r="117" spans="1:7" x14ac:dyDescent="0.25">
      <c r="A117" s="3">
        <v>43132</v>
      </c>
      <c r="B117" s="2" t="s">
        <v>50</v>
      </c>
      <c r="C117" s="2" t="s">
        <v>84</v>
      </c>
      <c r="D117" s="46">
        <v>0.05</v>
      </c>
      <c r="E117" s="44">
        <v>2458.4700000000003</v>
      </c>
      <c r="F117" s="45">
        <v>19.95</v>
      </c>
      <c r="G117" s="44">
        <v>123.23157894736843</v>
      </c>
    </row>
    <row r="118" spans="1:7" x14ac:dyDescent="0.25">
      <c r="A118" s="3">
        <v>43132</v>
      </c>
      <c r="B118" s="2" t="s">
        <v>59</v>
      </c>
      <c r="C118" s="2" t="s">
        <v>85</v>
      </c>
      <c r="D118" s="46">
        <v>0.1</v>
      </c>
      <c r="E118" s="44">
        <v>871.2</v>
      </c>
      <c r="F118" s="45">
        <v>8.8000000000000007</v>
      </c>
      <c r="G118" s="44">
        <v>99</v>
      </c>
    </row>
    <row r="119" spans="1:7" x14ac:dyDescent="0.25">
      <c r="A119" s="3">
        <v>43132</v>
      </c>
      <c r="B119" s="2" t="s">
        <v>31</v>
      </c>
      <c r="C119" s="2" t="s">
        <v>84</v>
      </c>
      <c r="D119" s="46">
        <v>0.05</v>
      </c>
      <c r="E119" s="44">
        <v>7028.0070000000005</v>
      </c>
      <c r="F119" s="45">
        <v>111.30000000000001</v>
      </c>
      <c r="G119" s="44">
        <v>63.144716981132071</v>
      </c>
    </row>
    <row r="120" spans="1:7" x14ac:dyDescent="0.25">
      <c r="A120" s="3">
        <v>43132</v>
      </c>
      <c r="B120" s="2" t="s">
        <v>32</v>
      </c>
      <c r="C120" s="2" t="s">
        <v>84</v>
      </c>
      <c r="D120" s="46">
        <v>0.05</v>
      </c>
      <c r="E120" s="44">
        <v>9821.112000000001</v>
      </c>
      <c r="F120" s="45">
        <v>69.3</v>
      </c>
      <c r="G120" s="44">
        <v>141.71878787878791</v>
      </c>
    </row>
    <row r="121" spans="1:7" x14ac:dyDescent="0.25">
      <c r="A121" s="3">
        <v>43132</v>
      </c>
      <c r="B121" s="2" t="s">
        <v>33</v>
      </c>
      <c r="C121" s="2" t="s">
        <v>84</v>
      </c>
      <c r="D121" s="46">
        <v>0.05</v>
      </c>
      <c r="E121" s="44">
        <v>8947.165500000001</v>
      </c>
      <c r="F121" s="45">
        <v>58.800000000000004</v>
      </c>
      <c r="G121" s="44">
        <v>152.16267857142859</v>
      </c>
    </row>
    <row r="122" spans="1:7" x14ac:dyDescent="0.25">
      <c r="A122" s="3">
        <v>43132</v>
      </c>
      <c r="B122" s="2" t="s">
        <v>34</v>
      </c>
      <c r="C122" s="2" t="s">
        <v>84</v>
      </c>
      <c r="D122" s="46">
        <v>0.05</v>
      </c>
      <c r="E122" s="44">
        <v>11542.0095</v>
      </c>
      <c r="F122" s="45">
        <v>34.65</v>
      </c>
      <c r="G122" s="44">
        <v>333.10272727272729</v>
      </c>
    </row>
    <row r="123" spans="1:7" x14ac:dyDescent="0.25">
      <c r="A123" s="3">
        <v>43160</v>
      </c>
      <c r="B123" s="2" t="s">
        <v>35</v>
      </c>
      <c r="C123" s="2" t="s">
        <v>84</v>
      </c>
      <c r="D123" s="46">
        <v>0.05</v>
      </c>
      <c r="E123" s="44">
        <v>86.089500000000001</v>
      </c>
      <c r="F123" s="45">
        <v>2.1</v>
      </c>
      <c r="G123" s="44">
        <v>40.994999999999997</v>
      </c>
    </row>
    <row r="124" spans="1:7" x14ac:dyDescent="0.25">
      <c r="A124" s="3">
        <v>43160</v>
      </c>
      <c r="B124" s="2" t="s">
        <v>6</v>
      </c>
      <c r="C124" s="2" t="s">
        <v>84</v>
      </c>
      <c r="D124" s="46">
        <v>0.05</v>
      </c>
      <c r="E124" s="44">
        <v>4309.000500000001</v>
      </c>
      <c r="F124" s="45">
        <v>17.850000000000001</v>
      </c>
      <c r="G124" s="44">
        <v>241.40058823529415</v>
      </c>
    </row>
    <row r="125" spans="1:7" x14ac:dyDescent="0.25">
      <c r="A125" s="3">
        <v>43160</v>
      </c>
      <c r="B125" s="2" t="s">
        <v>60</v>
      </c>
      <c r="C125" s="2" t="s">
        <v>84</v>
      </c>
      <c r="D125" s="46">
        <v>0.05</v>
      </c>
      <c r="E125" s="44">
        <v>183.33</v>
      </c>
      <c r="F125" s="45">
        <v>4.2</v>
      </c>
      <c r="G125" s="44">
        <v>43.65</v>
      </c>
    </row>
    <row r="126" spans="1:7" x14ac:dyDescent="0.25">
      <c r="A126" s="3">
        <v>43160</v>
      </c>
      <c r="B126" s="2" t="s">
        <v>7</v>
      </c>
      <c r="C126" s="2" t="s">
        <v>85</v>
      </c>
      <c r="D126" s="46">
        <v>0.1</v>
      </c>
      <c r="E126" s="44">
        <v>1248.2470000000001</v>
      </c>
      <c r="F126" s="45">
        <v>15.400000000000002</v>
      </c>
      <c r="G126" s="44">
        <v>81.054999999999993</v>
      </c>
    </row>
    <row r="127" spans="1:7" x14ac:dyDescent="0.25">
      <c r="A127" s="3">
        <v>43160</v>
      </c>
      <c r="B127" s="2" t="s">
        <v>8</v>
      </c>
      <c r="C127" s="2" t="s">
        <v>84</v>
      </c>
      <c r="D127" s="46">
        <v>0.05</v>
      </c>
      <c r="E127" s="44">
        <v>13936.576500000001</v>
      </c>
      <c r="F127" s="45">
        <v>81.900000000000006</v>
      </c>
      <c r="G127" s="44">
        <v>170.16576923076923</v>
      </c>
    </row>
    <row r="128" spans="1:7" x14ac:dyDescent="0.25">
      <c r="A128" s="3">
        <v>43160</v>
      </c>
      <c r="B128" s="2" t="s">
        <v>9</v>
      </c>
      <c r="C128" s="2" t="s">
        <v>84</v>
      </c>
      <c r="D128" s="46">
        <v>0.05</v>
      </c>
      <c r="E128" s="44">
        <v>3771.8940000000002</v>
      </c>
      <c r="F128" s="45">
        <v>44.1</v>
      </c>
      <c r="G128" s="44">
        <v>85.530476190476193</v>
      </c>
    </row>
    <row r="129" spans="1:7" x14ac:dyDescent="0.25">
      <c r="A129" s="3">
        <v>43160</v>
      </c>
      <c r="B129" s="2" t="s">
        <v>10</v>
      </c>
      <c r="C129" s="2" t="s">
        <v>86</v>
      </c>
      <c r="D129" s="46">
        <v>0.02</v>
      </c>
      <c r="E129" s="44">
        <v>25622.420400000003</v>
      </c>
      <c r="F129" s="45">
        <v>284.58</v>
      </c>
      <c r="G129" s="44">
        <v>90.035913978494634</v>
      </c>
    </row>
    <row r="130" spans="1:7" x14ac:dyDescent="0.25">
      <c r="A130" s="3">
        <v>43160</v>
      </c>
      <c r="B130" s="2" t="s">
        <v>36</v>
      </c>
      <c r="C130" s="2" t="s">
        <v>84</v>
      </c>
      <c r="D130" s="46">
        <v>0.05</v>
      </c>
      <c r="E130" s="44">
        <v>2660.6580000000004</v>
      </c>
      <c r="F130" s="45">
        <v>25.200000000000003</v>
      </c>
      <c r="G130" s="44">
        <v>105.58166666666666</v>
      </c>
    </row>
    <row r="131" spans="1:7" x14ac:dyDescent="0.25">
      <c r="A131" s="3">
        <v>43160</v>
      </c>
      <c r="B131" s="2" t="s">
        <v>51</v>
      </c>
      <c r="C131" s="2" t="s">
        <v>84</v>
      </c>
      <c r="D131" s="46">
        <v>0.05</v>
      </c>
      <c r="E131" s="44">
        <v>78.75</v>
      </c>
      <c r="F131" s="45">
        <v>2.1</v>
      </c>
      <c r="G131" s="44">
        <v>37.5</v>
      </c>
    </row>
    <row r="132" spans="1:7" x14ac:dyDescent="0.25">
      <c r="A132" s="3">
        <v>43160</v>
      </c>
      <c r="B132" s="2" t="s">
        <v>11</v>
      </c>
      <c r="C132" s="2" t="s">
        <v>85</v>
      </c>
      <c r="D132" s="46">
        <v>0.1</v>
      </c>
      <c r="E132" s="44">
        <v>30886.68</v>
      </c>
      <c r="F132" s="45">
        <v>188.10000000000002</v>
      </c>
      <c r="G132" s="44">
        <v>164.20350877192982</v>
      </c>
    </row>
    <row r="133" spans="1:7" x14ac:dyDescent="0.25">
      <c r="A133" s="3">
        <v>43160</v>
      </c>
      <c r="B133" s="2" t="s">
        <v>12</v>
      </c>
      <c r="C133" s="2" t="s">
        <v>85</v>
      </c>
      <c r="D133" s="46">
        <v>0.1</v>
      </c>
      <c r="E133" s="44">
        <v>10817.444000000001</v>
      </c>
      <c r="F133" s="45">
        <v>51.7</v>
      </c>
      <c r="G133" s="44">
        <v>209.2348936170213</v>
      </c>
    </row>
    <row r="134" spans="1:7" x14ac:dyDescent="0.25">
      <c r="A134" s="3">
        <v>43160</v>
      </c>
      <c r="B134" s="2" t="s">
        <v>53</v>
      </c>
      <c r="C134" s="2" t="s">
        <v>86</v>
      </c>
      <c r="D134" s="46">
        <v>0.02</v>
      </c>
      <c r="E134" s="44">
        <v>39.677999999999997</v>
      </c>
      <c r="F134" s="45">
        <v>1.02</v>
      </c>
      <c r="G134" s="44">
        <v>38.9</v>
      </c>
    </row>
    <row r="135" spans="1:7" x14ac:dyDescent="0.25">
      <c r="A135" s="3">
        <v>43160</v>
      </c>
      <c r="B135" s="2" t="s">
        <v>13</v>
      </c>
      <c r="C135" s="2" t="s">
        <v>84</v>
      </c>
      <c r="D135" s="46">
        <v>0.05</v>
      </c>
      <c r="E135" s="44">
        <v>21612.496500000001</v>
      </c>
      <c r="F135" s="45">
        <v>123.9</v>
      </c>
      <c r="G135" s="44">
        <v>174.435</v>
      </c>
    </row>
    <row r="136" spans="1:7" x14ac:dyDescent="0.25">
      <c r="A136" s="3">
        <v>43160</v>
      </c>
      <c r="B136" s="2" t="s">
        <v>61</v>
      </c>
      <c r="C136" s="2" t="s">
        <v>84</v>
      </c>
      <c r="D136" s="46">
        <v>0.05</v>
      </c>
      <c r="E136" s="44">
        <v>487.06350000000003</v>
      </c>
      <c r="F136" s="45">
        <v>5.25</v>
      </c>
      <c r="G136" s="44">
        <v>92.774000000000001</v>
      </c>
    </row>
    <row r="137" spans="1:7" x14ac:dyDescent="0.25">
      <c r="A137" s="3">
        <v>43160</v>
      </c>
      <c r="B137" s="2" t="s">
        <v>38</v>
      </c>
      <c r="C137" s="2" t="s">
        <v>84</v>
      </c>
      <c r="D137" s="46">
        <v>0.05</v>
      </c>
      <c r="E137" s="44">
        <v>476.38499999999999</v>
      </c>
      <c r="F137" s="45">
        <v>4.2</v>
      </c>
      <c r="G137" s="44">
        <v>113.425</v>
      </c>
    </row>
    <row r="138" spans="1:7" x14ac:dyDescent="0.25">
      <c r="A138" s="3">
        <v>43160</v>
      </c>
      <c r="B138" s="2" t="s">
        <v>15</v>
      </c>
      <c r="C138" s="2" t="s">
        <v>85</v>
      </c>
      <c r="D138" s="46">
        <v>0.1</v>
      </c>
      <c r="E138" s="44">
        <v>4384.6000000000004</v>
      </c>
      <c r="F138" s="45">
        <v>40.700000000000003</v>
      </c>
      <c r="G138" s="44">
        <v>107.72972972972973</v>
      </c>
    </row>
    <row r="139" spans="1:7" x14ac:dyDescent="0.25">
      <c r="A139" s="3">
        <v>43160</v>
      </c>
      <c r="B139" s="2" t="s">
        <v>16</v>
      </c>
      <c r="C139" s="2" t="s">
        <v>84</v>
      </c>
      <c r="D139" s="46">
        <v>0.05</v>
      </c>
      <c r="E139" s="44">
        <v>20.895</v>
      </c>
      <c r="F139" s="45">
        <v>1.05</v>
      </c>
      <c r="G139" s="44">
        <v>19.899999999999999</v>
      </c>
    </row>
    <row r="140" spans="1:7" x14ac:dyDescent="0.25">
      <c r="A140" s="3">
        <v>43160</v>
      </c>
      <c r="B140" s="2" t="s">
        <v>17</v>
      </c>
      <c r="C140" s="2" t="s">
        <v>84</v>
      </c>
      <c r="D140" s="46">
        <v>0.05</v>
      </c>
      <c r="E140" s="44">
        <v>5025.6779999999999</v>
      </c>
      <c r="F140" s="45">
        <v>69.3</v>
      </c>
      <c r="G140" s="44">
        <v>72.520606060606056</v>
      </c>
    </row>
    <row r="141" spans="1:7" x14ac:dyDescent="0.25">
      <c r="A141" s="3">
        <v>43160</v>
      </c>
      <c r="B141" s="2" t="s">
        <v>19</v>
      </c>
      <c r="C141" s="2" t="s">
        <v>84</v>
      </c>
      <c r="D141" s="46">
        <v>0.05</v>
      </c>
      <c r="E141" s="44">
        <v>1590.75</v>
      </c>
      <c r="F141" s="45">
        <v>14.700000000000001</v>
      </c>
      <c r="G141" s="44">
        <v>108.21428571428571</v>
      </c>
    </row>
    <row r="142" spans="1:7" x14ac:dyDescent="0.25">
      <c r="A142" s="3">
        <v>43160</v>
      </c>
      <c r="B142" s="2" t="s">
        <v>62</v>
      </c>
      <c r="C142" s="2" t="s">
        <v>84</v>
      </c>
      <c r="D142" s="46">
        <v>0.05</v>
      </c>
      <c r="E142" s="44">
        <v>41.895000000000003</v>
      </c>
      <c r="F142" s="45">
        <v>1.05</v>
      </c>
      <c r="G142" s="44">
        <v>39.9</v>
      </c>
    </row>
    <row r="143" spans="1:7" x14ac:dyDescent="0.25">
      <c r="A143" s="3">
        <v>43160</v>
      </c>
      <c r="B143" s="2" t="s">
        <v>39</v>
      </c>
      <c r="C143" s="2" t="s">
        <v>84</v>
      </c>
      <c r="D143" s="46">
        <v>0.05</v>
      </c>
      <c r="E143" s="44">
        <v>413.84699999999998</v>
      </c>
      <c r="F143" s="45">
        <v>6.3000000000000007</v>
      </c>
      <c r="G143" s="44">
        <v>65.689999999999984</v>
      </c>
    </row>
    <row r="144" spans="1:7" x14ac:dyDescent="0.25">
      <c r="A144" s="3">
        <v>43160</v>
      </c>
      <c r="B144" s="2" t="s">
        <v>20</v>
      </c>
      <c r="C144" s="2" t="s">
        <v>84</v>
      </c>
      <c r="D144" s="46">
        <v>0.05</v>
      </c>
      <c r="E144" s="44">
        <v>1400.1225000000002</v>
      </c>
      <c r="F144" s="45">
        <v>21</v>
      </c>
      <c r="G144" s="44">
        <v>66.672500000000014</v>
      </c>
    </row>
    <row r="145" spans="1:7" x14ac:dyDescent="0.25">
      <c r="A145" s="3">
        <v>43160</v>
      </c>
      <c r="B145" s="2" t="s">
        <v>21</v>
      </c>
      <c r="C145" s="2" t="s">
        <v>84</v>
      </c>
      <c r="D145" s="46">
        <v>0.05</v>
      </c>
      <c r="E145" s="44">
        <v>2533.2930000000001</v>
      </c>
      <c r="F145" s="45">
        <v>22.05</v>
      </c>
      <c r="G145" s="44">
        <v>114.88857142857142</v>
      </c>
    </row>
    <row r="146" spans="1:7" x14ac:dyDescent="0.25">
      <c r="A146" s="3">
        <v>43160</v>
      </c>
      <c r="B146" s="2" t="s">
        <v>63</v>
      </c>
      <c r="C146" s="2" t="s">
        <v>84</v>
      </c>
      <c r="D146" s="46">
        <v>0.05</v>
      </c>
      <c r="E146" s="44">
        <v>90.09</v>
      </c>
      <c r="F146" s="45">
        <v>4.2</v>
      </c>
      <c r="G146" s="44">
        <v>21.45</v>
      </c>
    </row>
    <row r="147" spans="1:7" x14ac:dyDescent="0.25">
      <c r="A147" s="3">
        <v>43160</v>
      </c>
      <c r="B147" s="2" t="s">
        <v>22</v>
      </c>
      <c r="C147" s="2" t="s">
        <v>86</v>
      </c>
      <c r="D147" s="46">
        <v>0.02</v>
      </c>
      <c r="E147" s="44">
        <v>22576.1394</v>
      </c>
      <c r="F147" s="45">
        <v>321.3</v>
      </c>
      <c r="G147" s="44">
        <v>70.264984126984118</v>
      </c>
    </row>
    <row r="148" spans="1:7" x14ac:dyDescent="0.25">
      <c r="A148" s="3">
        <v>43160</v>
      </c>
      <c r="B148" s="2" t="s">
        <v>41</v>
      </c>
      <c r="C148" s="2" t="s">
        <v>86</v>
      </c>
      <c r="D148" s="46">
        <v>0.02</v>
      </c>
      <c r="E148" s="44">
        <v>3390.48</v>
      </c>
      <c r="F148" s="45">
        <v>24.48</v>
      </c>
      <c r="G148" s="44">
        <v>138.5</v>
      </c>
    </row>
    <row r="149" spans="1:7" x14ac:dyDescent="0.25">
      <c r="A149" s="3">
        <v>43160</v>
      </c>
      <c r="B149" s="2" t="s">
        <v>23</v>
      </c>
      <c r="C149" s="2" t="s">
        <v>86</v>
      </c>
      <c r="D149" s="46">
        <v>0.02</v>
      </c>
      <c r="E149" s="44">
        <v>23978.9352</v>
      </c>
      <c r="F149" s="45">
        <v>148.92000000000002</v>
      </c>
      <c r="G149" s="44">
        <v>161.01890410958902</v>
      </c>
    </row>
    <row r="150" spans="1:7" x14ac:dyDescent="0.25">
      <c r="A150" s="3">
        <v>43160</v>
      </c>
      <c r="B150" s="2" t="s">
        <v>5</v>
      </c>
      <c r="C150" s="2" t="s">
        <v>84</v>
      </c>
      <c r="D150" s="46">
        <v>0.05</v>
      </c>
      <c r="E150" s="44">
        <v>26935.072500000002</v>
      </c>
      <c r="F150" s="45">
        <v>218.4</v>
      </c>
      <c r="G150" s="44">
        <v>123.32908653846154</v>
      </c>
    </row>
    <row r="151" spans="1:7" x14ac:dyDescent="0.25">
      <c r="A151" s="3">
        <v>43160</v>
      </c>
      <c r="B151" s="2" t="s">
        <v>56</v>
      </c>
      <c r="C151" s="2" t="s">
        <v>86</v>
      </c>
      <c r="D151" s="46">
        <v>0.02</v>
      </c>
      <c r="E151" s="44">
        <v>319.56600000000003</v>
      </c>
      <c r="F151" s="45">
        <v>10.199999999999999</v>
      </c>
      <c r="G151" s="44">
        <v>31.330000000000005</v>
      </c>
    </row>
    <row r="152" spans="1:7" x14ac:dyDescent="0.25">
      <c r="A152" s="3">
        <v>43160</v>
      </c>
      <c r="B152" s="2" t="s">
        <v>42</v>
      </c>
      <c r="C152" s="2" t="s">
        <v>86</v>
      </c>
      <c r="D152" s="46">
        <v>0.02</v>
      </c>
      <c r="E152" s="44">
        <v>510.91800000000001</v>
      </c>
      <c r="F152" s="45">
        <v>2.04</v>
      </c>
      <c r="G152" s="44">
        <v>250.45</v>
      </c>
    </row>
    <row r="153" spans="1:7" x14ac:dyDescent="0.25">
      <c r="A153" s="3">
        <v>43160</v>
      </c>
      <c r="B153" s="2" t="s">
        <v>43</v>
      </c>
      <c r="C153" s="2" t="s">
        <v>86</v>
      </c>
      <c r="D153" s="46">
        <v>0.02</v>
      </c>
      <c r="E153" s="44">
        <v>349.73759999999999</v>
      </c>
      <c r="F153" s="45">
        <v>3.06</v>
      </c>
      <c r="G153" s="44">
        <v>114.29333333333332</v>
      </c>
    </row>
    <row r="154" spans="1:7" x14ac:dyDescent="0.25">
      <c r="A154" s="3">
        <v>43160</v>
      </c>
      <c r="B154" s="2" t="s">
        <v>57</v>
      </c>
      <c r="C154" s="2" t="s">
        <v>86</v>
      </c>
      <c r="D154" s="46">
        <v>0.02</v>
      </c>
      <c r="E154" s="44">
        <v>2165.8679999999999</v>
      </c>
      <c r="F154" s="45">
        <v>13.26</v>
      </c>
      <c r="G154" s="44">
        <v>163.33846153846153</v>
      </c>
    </row>
    <row r="155" spans="1:7" x14ac:dyDescent="0.25">
      <c r="A155" s="3">
        <v>43160</v>
      </c>
      <c r="B155" s="2" t="s">
        <v>58</v>
      </c>
      <c r="C155" s="2" t="s">
        <v>86</v>
      </c>
      <c r="D155" s="46">
        <v>0.02</v>
      </c>
      <c r="E155" s="44">
        <v>603.79920000000004</v>
      </c>
      <c r="F155" s="45">
        <v>10.199999999999999</v>
      </c>
      <c r="G155" s="44">
        <v>59.196000000000005</v>
      </c>
    </row>
    <row r="156" spans="1:7" x14ac:dyDescent="0.25">
      <c r="A156" s="3">
        <v>43160</v>
      </c>
      <c r="B156" s="2" t="s">
        <v>24</v>
      </c>
      <c r="C156" s="2" t="s">
        <v>86</v>
      </c>
      <c r="D156" s="46">
        <v>0.02</v>
      </c>
      <c r="E156" s="44">
        <v>13165.099199999999</v>
      </c>
      <c r="F156" s="45">
        <v>199.92000000000002</v>
      </c>
      <c r="G156" s="44">
        <v>65.851836734693862</v>
      </c>
    </row>
    <row r="157" spans="1:7" x14ac:dyDescent="0.25">
      <c r="A157" s="3">
        <v>43160</v>
      </c>
      <c r="B157" s="2" t="s">
        <v>25</v>
      </c>
      <c r="C157" s="2" t="s">
        <v>84</v>
      </c>
      <c r="D157" s="46">
        <v>0.05</v>
      </c>
      <c r="E157" s="44">
        <v>249.9</v>
      </c>
      <c r="F157" s="45">
        <v>2.1</v>
      </c>
      <c r="G157" s="44">
        <v>119</v>
      </c>
    </row>
    <row r="158" spans="1:7" x14ac:dyDescent="0.25">
      <c r="A158" s="3">
        <v>43160</v>
      </c>
      <c r="B158" s="2" t="s">
        <v>44</v>
      </c>
      <c r="C158" s="2" t="s">
        <v>86</v>
      </c>
      <c r="D158" s="46">
        <v>0.02</v>
      </c>
      <c r="E158" s="44">
        <v>116.25960000000001</v>
      </c>
      <c r="F158" s="45">
        <v>3.06</v>
      </c>
      <c r="G158" s="44">
        <v>37.993333333333332</v>
      </c>
    </row>
    <row r="159" spans="1:7" x14ac:dyDescent="0.25">
      <c r="A159" s="3">
        <v>43160</v>
      </c>
      <c r="B159" s="2" t="s">
        <v>45</v>
      </c>
      <c r="C159" s="2" t="s">
        <v>84</v>
      </c>
      <c r="D159" s="46">
        <v>0.05</v>
      </c>
      <c r="E159" s="44">
        <v>6220.2105000000001</v>
      </c>
      <c r="F159" s="45">
        <v>39.9</v>
      </c>
      <c r="G159" s="44">
        <v>155.89500000000001</v>
      </c>
    </row>
    <row r="160" spans="1:7" x14ac:dyDescent="0.25">
      <c r="A160" s="3">
        <v>43160</v>
      </c>
      <c r="B160" s="2" t="s">
        <v>26</v>
      </c>
      <c r="C160" s="2" t="s">
        <v>84</v>
      </c>
      <c r="D160" s="46">
        <v>0.05</v>
      </c>
      <c r="E160" s="44">
        <v>1899.0195000000001</v>
      </c>
      <c r="F160" s="45">
        <v>17.850000000000001</v>
      </c>
      <c r="G160" s="44">
        <v>106.38764705882353</v>
      </c>
    </row>
    <row r="161" spans="1:7" x14ac:dyDescent="0.25">
      <c r="A161" s="3">
        <v>43160</v>
      </c>
      <c r="B161" s="2" t="s">
        <v>46</v>
      </c>
      <c r="C161" s="2" t="s">
        <v>84</v>
      </c>
      <c r="D161" s="46">
        <v>0.05</v>
      </c>
      <c r="E161" s="44">
        <v>29.389499999999998</v>
      </c>
      <c r="F161" s="45">
        <v>1.05</v>
      </c>
      <c r="G161" s="44">
        <v>27.99</v>
      </c>
    </row>
    <row r="162" spans="1:7" x14ac:dyDescent="0.25">
      <c r="A162" s="3">
        <v>43160</v>
      </c>
      <c r="B162" s="2" t="s">
        <v>47</v>
      </c>
      <c r="C162" s="2" t="s">
        <v>84</v>
      </c>
      <c r="D162" s="46">
        <v>0.05</v>
      </c>
      <c r="E162" s="44">
        <v>1750.6965</v>
      </c>
      <c r="F162" s="45">
        <v>10.5</v>
      </c>
      <c r="G162" s="44">
        <v>166.733</v>
      </c>
    </row>
    <row r="163" spans="1:7" x14ac:dyDescent="0.25">
      <c r="A163" s="3">
        <v>43160</v>
      </c>
      <c r="B163" s="2" t="s">
        <v>27</v>
      </c>
      <c r="C163" s="2" t="s">
        <v>86</v>
      </c>
      <c r="D163" s="46">
        <v>0.02</v>
      </c>
      <c r="E163" s="44">
        <v>11009.727000000001</v>
      </c>
      <c r="F163" s="45">
        <v>75.48</v>
      </c>
      <c r="G163" s="44">
        <v>145.86283783783784</v>
      </c>
    </row>
    <row r="164" spans="1:7" x14ac:dyDescent="0.25">
      <c r="A164" s="3">
        <v>43160</v>
      </c>
      <c r="B164" s="2" t="s">
        <v>28</v>
      </c>
      <c r="C164" s="2" t="s">
        <v>84</v>
      </c>
      <c r="D164" s="46">
        <v>0.05</v>
      </c>
      <c r="E164" s="44">
        <v>20588.546999999999</v>
      </c>
      <c r="F164" s="45">
        <v>110.25</v>
      </c>
      <c r="G164" s="44">
        <v>186.74419047619045</v>
      </c>
    </row>
    <row r="165" spans="1:7" x14ac:dyDescent="0.25">
      <c r="A165" s="3">
        <v>43160</v>
      </c>
      <c r="B165" s="2" t="s">
        <v>29</v>
      </c>
      <c r="C165" s="2" t="s">
        <v>84</v>
      </c>
      <c r="D165" s="46">
        <v>0.05</v>
      </c>
      <c r="E165" s="44">
        <v>8652.0630000000001</v>
      </c>
      <c r="F165" s="45">
        <v>46.2</v>
      </c>
      <c r="G165" s="44">
        <v>187.27409090909089</v>
      </c>
    </row>
    <row r="166" spans="1:7" x14ac:dyDescent="0.25">
      <c r="A166" s="3">
        <v>43160</v>
      </c>
      <c r="B166" s="2" t="s">
        <v>64</v>
      </c>
      <c r="C166" s="2" t="s">
        <v>84</v>
      </c>
      <c r="D166" s="46">
        <v>0.05</v>
      </c>
      <c r="E166" s="44">
        <v>78.75</v>
      </c>
      <c r="F166" s="45">
        <v>1.05</v>
      </c>
      <c r="G166" s="44">
        <v>75</v>
      </c>
    </row>
    <row r="167" spans="1:7" x14ac:dyDescent="0.25">
      <c r="A167" s="3">
        <v>43160</v>
      </c>
      <c r="B167" s="2" t="s">
        <v>49</v>
      </c>
      <c r="C167" s="2" t="s">
        <v>84</v>
      </c>
      <c r="D167" s="46">
        <v>0.05</v>
      </c>
      <c r="E167" s="44">
        <v>11729.612999999999</v>
      </c>
      <c r="F167" s="45">
        <v>32.550000000000004</v>
      </c>
      <c r="G167" s="44">
        <v>360.35677419354835</v>
      </c>
    </row>
    <row r="168" spans="1:7" x14ac:dyDescent="0.25">
      <c r="A168" s="3">
        <v>43160</v>
      </c>
      <c r="B168" s="2" t="s">
        <v>30</v>
      </c>
      <c r="C168" s="2" t="s">
        <v>84</v>
      </c>
      <c r="D168" s="46">
        <v>0.05</v>
      </c>
      <c r="E168" s="44">
        <v>26746.534500000002</v>
      </c>
      <c r="F168" s="45">
        <v>199.5</v>
      </c>
      <c r="G168" s="44">
        <v>134.06784210526317</v>
      </c>
    </row>
    <row r="169" spans="1:7" x14ac:dyDescent="0.25">
      <c r="A169" s="3">
        <v>43160</v>
      </c>
      <c r="B169" s="2" t="s">
        <v>50</v>
      </c>
      <c r="C169" s="2" t="s">
        <v>84</v>
      </c>
      <c r="D169" s="46">
        <v>0.05</v>
      </c>
      <c r="E169" s="44">
        <v>6197.7510000000002</v>
      </c>
      <c r="F169" s="45">
        <v>58.800000000000004</v>
      </c>
      <c r="G169" s="44">
        <v>105.40392857142857</v>
      </c>
    </row>
    <row r="170" spans="1:7" x14ac:dyDescent="0.25">
      <c r="A170" s="3">
        <v>43160</v>
      </c>
      <c r="B170" s="2" t="s">
        <v>59</v>
      </c>
      <c r="C170" s="2" t="s">
        <v>85</v>
      </c>
      <c r="D170" s="46">
        <v>0.1</v>
      </c>
      <c r="E170" s="44">
        <v>544.5</v>
      </c>
      <c r="F170" s="45">
        <v>5.5</v>
      </c>
      <c r="G170" s="44">
        <v>99</v>
      </c>
    </row>
    <row r="171" spans="1:7" x14ac:dyDescent="0.25">
      <c r="A171" s="3">
        <v>43160</v>
      </c>
      <c r="B171" s="2" t="s">
        <v>31</v>
      </c>
      <c r="C171" s="2" t="s">
        <v>84</v>
      </c>
      <c r="D171" s="46">
        <v>0.05</v>
      </c>
      <c r="E171" s="44">
        <v>8270.9760000000006</v>
      </c>
      <c r="F171" s="45">
        <v>173.25</v>
      </c>
      <c r="G171" s="44">
        <v>47.740121212121217</v>
      </c>
    </row>
    <row r="172" spans="1:7" x14ac:dyDescent="0.25">
      <c r="A172" s="3">
        <v>43160</v>
      </c>
      <c r="B172" s="2" t="s">
        <v>32</v>
      </c>
      <c r="C172" s="2" t="s">
        <v>84</v>
      </c>
      <c r="D172" s="46">
        <v>0.05</v>
      </c>
      <c r="E172" s="44">
        <v>12956.548500000001</v>
      </c>
      <c r="F172" s="45">
        <v>107.10000000000001</v>
      </c>
      <c r="G172" s="44">
        <v>120.97617647058823</v>
      </c>
    </row>
    <row r="173" spans="1:7" x14ac:dyDescent="0.25">
      <c r="A173" s="3">
        <v>43160</v>
      </c>
      <c r="B173" s="2" t="s">
        <v>33</v>
      </c>
      <c r="C173" s="2" t="s">
        <v>84</v>
      </c>
      <c r="D173" s="46">
        <v>0.05</v>
      </c>
      <c r="E173" s="44">
        <v>6780.0285000000003</v>
      </c>
      <c r="F173" s="45">
        <v>63</v>
      </c>
      <c r="G173" s="44">
        <v>107.6195</v>
      </c>
    </row>
    <row r="174" spans="1:7" x14ac:dyDescent="0.25">
      <c r="A174" s="3">
        <v>43160</v>
      </c>
      <c r="B174" s="2" t="s">
        <v>34</v>
      </c>
      <c r="C174" s="2" t="s">
        <v>84</v>
      </c>
      <c r="D174" s="46">
        <v>0.05</v>
      </c>
      <c r="E174" s="44">
        <v>26136.999000000003</v>
      </c>
      <c r="F174" s="45">
        <v>82.95</v>
      </c>
      <c r="G174" s="44">
        <v>315.09341772151902</v>
      </c>
    </row>
    <row r="175" spans="1:7" x14ac:dyDescent="0.25">
      <c r="A175" s="3">
        <v>43191</v>
      </c>
      <c r="B175" s="2" t="s">
        <v>6</v>
      </c>
      <c r="C175" s="2" t="s">
        <v>84</v>
      </c>
      <c r="D175" s="46">
        <v>0.05</v>
      </c>
      <c r="E175" s="44">
        <v>2616.8415</v>
      </c>
      <c r="F175" s="45">
        <v>15.75</v>
      </c>
      <c r="G175" s="44">
        <v>166.14866666666666</v>
      </c>
    </row>
    <row r="176" spans="1:7" x14ac:dyDescent="0.25">
      <c r="A176" s="3">
        <v>43191</v>
      </c>
      <c r="B176" s="2" t="s">
        <v>60</v>
      </c>
      <c r="C176" s="2" t="s">
        <v>84</v>
      </c>
      <c r="D176" s="46">
        <v>0.05</v>
      </c>
      <c r="E176" s="44">
        <v>125.89500000000001</v>
      </c>
      <c r="F176" s="45">
        <v>1.05</v>
      </c>
      <c r="G176" s="44">
        <v>119.9</v>
      </c>
    </row>
    <row r="177" spans="1:7" x14ac:dyDescent="0.25">
      <c r="A177" s="3">
        <v>43191</v>
      </c>
      <c r="B177" s="2" t="s">
        <v>7</v>
      </c>
      <c r="C177" s="2" t="s">
        <v>85</v>
      </c>
      <c r="D177" s="46">
        <v>0.1</v>
      </c>
      <c r="E177" s="44">
        <v>1036.42</v>
      </c>
      <c r="F177" s="45">
        <v>12.100000000000001</v>
      </c>
      <c r="G177" s="44">
        <v>85.654545454545456</v>
      </c>
    </row>
    <row r="178" spans="1:7" x14ac:dyDescent="0.25">
      <c r="A178" s="3">
        <v>43191</v>
      </c>
      <c r="B178" s="2" t="s">
        <v>8</v>
      </c>
      <c r="C178" s="2" t="s">
        <v>84</v>
      </c>
      <c r="D178" s="46">
        <v>0.05</v>
      </c>
      <c r="E178" s="44">
        <v>15906.786</v>
      </c>
      <c r="F178" s="45">
        <v>88.2</v>
      </c>
      <c r="G178" s="44">
        <v>180.34904761904761</v>
      </c>
    </row>
    <row r="179" spans="1:7" x14ac:dyDescent="0.25">
      <c r="A179" s="3">
        <v>43191</v>
      </c>
      <c r="B179" s="2" t="s">
        <v>9</v>
      </c>
      <c r="C179" s="2" t="s">
        <v>84</v>
      </c>
      <c r="D179" s="46">
        <v>0.05</v>
      </c>
      <c r="E179" s="44">
        <v>4127.0775000000003</v>
      </c>
      <c r="F179" s="45">
        <v>52.5</v>
      </c>
      <c r="G179" s="44">
        <v>78.611000000000004</v>
      </c>
    </row>
    <row r="180" spans="1:7" x14ac:dyDescent="0.25">
      <c r="A180" s="3">
        <v>43191</v>
      </c>
      <c r="B180" s="2" t="s">
        <v>10</v>
      </c>
      <c r="C180" s="2" t="s">
        <v>86</v>
      </c>
      <c r="D180" s="46">
        <v>0.02</v>
      </c>
      <c r="E180" s="44">
        <v>24574.747800000001</v>
      </c>
      <c r="F180" s="45">
        <v>276.42</v>
      </c>
      <c r="G180" s="44">
        <v>88.903653136531361</v>
      </c>
    </row>
    <row r="181" spans="1:7" x14ac:dyDescent="0.25">
      <c r="A181" s="3">
        <v>43191</v>
      </c>
      <c r="B181" s="2" t="s">
        <v>36</v>
      </c>
      <c r="C181" s="2" t="s">
        <v>84</v>
      </c>
      <c r="D181" s="46">
        <v>0.05</v>
      </c>
      <c r="E181" s="44">
        <v>969.54900000000009</v>
      </c>
      <c r="F181" s="45">
        <v>12.600000000000001</v>
      </c>
      <c r="G181" s="44">
        <v>76.948333333333338</v>
      </c>
    </row>
    <row r="182" spans="1:7" x14ac:dyDescent="0.25">
      <c r="A182" s="3">
        <v>43191</v>
      </c>
      <c r="B182" s="2" t="s">
        <v>65</v>
      </c>
      <c r="C182" s="2" t="s">
        <v>84</v>
      </c>
      <c r="D182" s="46">
        <v>0.05</v>
      </c>
      <c r="E182" s="44">
        <v>20.9895</v>
      </c>
      <c r="F182" s="45">
        <v>1.05</v>
      </c>
      <c r="G182" s="44">
        <v>19.989999999999998</v>
      </c>
    </row>
    <row r="183" spans="1:7" x14ac:dyDescent="0.25">
      <c r="A183" s="3">
        <v>43191</v>
      </c>
      <c r="B183" s="2" t="s">
        <v>51</v>
      </c>
      <c r="C183" s="2" t="s">
        <v>84</v>
      </c>
      <c r="D183" s="46">
        <v>0.05</v>
      </c>
      <c r="E183" s="44">
        <v>78.75</v>
      </c>
      <c r="F183" s="45">
        <v>1.05</v>
      </c>
      <c r="G183" s="44">
        <v>75</v>
      </c>
    </row>
    <row r="184" spans="1:7" x14ac:dyDescent="0.25">
      <c r="A184" s="3">
        <v>43191</v>
      </c>
      <c r="B184" s="2" t="s">
        <v>66</v>
      </c>
      <c r="C184" s="2" t="s">
        <v>84</v>
      </c>
      <c r="D184" s="46">
        <v>0.05</v>
      </c>
      <c r="E184" s="44">
        <v>72.45</v>
      </c>
      <c r="F184" s="45">
        <v>1.05</v>
      </c>
      <c r="G184" s="44">
        <v>69</v>
      </c>
    </row>
    <row r="185" spans="1:7" x14ac:dyDescent="0.25">
      <c r="A185" s="3">
        <v>43191</v>
      </c>
      <c r="B185" s="2" t="s">
        <v>52</v>
      </c>
      <c r="C185" s="2" t="s">
        <v>84</v>
      </c>
      <c r="D185" s="46">
        <v>0.05</v>
      </c>
      <c r="E185" s="44">
        <v>123.9</v>
      </c>
      <c r="F185" s="45">
        <v>2.1</v>
      </c>
      <c r="G185" s="44">
        <v>59</v>
      </c>
    </row>
    <row r="186" spans="1:7" x14ac:dyDescent="0.25">
      <c r="A186" s="3">
        <v>43191</v>
      </c>
      <c r="B186" s="2" t="s">
        <v>11</v>
      </c>
      <c r="C186" s="2" t="s">
        <v>85</v>
      </c>
      <c r="D186" s="46">
        <v>0.1</v>
      </c>
      <c r="E186" s="44">
        <v>20188.806</v>
      </c>
      <c r="F186" s="45">
        <v>145.20000000000002</v>
      </c>
      <c r="G186" s="44">
        <v>139.04136363636363</v>
      </c>
    </row>
    <row r="187" spans="1:7" x14ac:dyDescent="0.25">
      <c r="A187" s="3">
        <v>43191</v>
      </c>
      <c r="B187" s="2" t="s">
        <v>12</v>
      </c>
      <c r="C187" s="2" t="s">
        <v>85</v>
      </c>
      <c r="D187" s="46">
        <v>0.1</v>
      </c>
      <c r="E187" s="44">
        <v>4150.1680000000006</v>
      </c>
      <c r="F187" s="45">
        <v>18.700000000000003</v>
      </c>
      <c r="G187" s="44">
        <v>221.93411764705883</v>
      </c>
    </row>
    <row r="188" spans="1:7" x14ac:dyDescent="0.25">
      <c r="A188" s="3">
        <v>43191</v>
      </c>
      <c r="B188" s="2" t="s">
        <v>13</v>
      </c>
      <c r="C188" s="2" t="s">
        <v>84</v>
      </c>
      <c r="D188" s="46">
        <v>0.05</v>
      </c>
      <c r="E188" s="44">
        <v>21947.5095</v>
      </c>
      <c r="F188" s="45">
        <v>119.7</v>
      </c>
      <c r="G188" s="44">
        <v>183.35429824561402</v>
      </c>
    </row>
    <row r="189" spans="1:7" x14ac:dyDescent="0.25">
      <c r="A189" s="3">
        <v>43191</v>
      </c>
      <c r="B189" s="2" t="s">
        <v>55</v>
      </c>
      <c r="C189" s="2" t="s">
        <v>86</v>
      </c>
      <c r="D189" s="46">
        <v>0.02</v>
      </c>
      <c r="E189" s="44">
        <v>1520.0142000000001</v>
      </c>
      <c r="F189" s="45">
        <v>8.16</v>
      </c>
      <c r="G189" s="44">
        <v>186.27625</v>
      </c>
    </row>
    <row r="190" spans="1:7" x14ac:dyDescent="0.25">
      <c r="A190" s="3">
        <v>43191</v>
      </c>
      <c r="B190" s="2" t="s">
        <v>67</v>
      </c>
      <c r="C190" s="2" t="s">
        <v>84</v>
      </c>
      <c r="D190" s="46">
        <v>0.05</v>
      </c>
      <c r="E190" s="44">
        <v>765.45</v>
      </c>
      <c r="F190" s="45">
        <v>1.05</v>
      </c>
      <c r="G190" s="44">
        <v>729</v>
      </c>
    </row>
    <row r="191" spans="1:7" x14ac:dyDescent="0.25">
      <c r="A191" s="3">
        <v>43191</v>
      </c>
      <c r="B191" s="2" t="s">
        <v>38</v>
      </c>
      <c r="C191" s="2" t="s">
        <v>84</v>
      </c>
      <c r="D191" s="46">
        <v>0.05</v>
      </c>
      <c r="E191" s="44">
        <v>1506.6450000000002</v>
      </c>
      <c r="F191" s="45">
        <v>2.1</v>
      </c>
      <c r="G191" s="44">
        <v>717.45</v>
      </c>
    </row>
    <row r="192" spans="1:7" x14ac:dyDescent="0.25">
      <c r="A192" s="3">
        <v>43191</v>
      </c>
      <c r="B192" s="2" t="s">
        <v>15</v>
      </c>
      <c r="C192" s="2" t="s">
        <v>85</v>
      </c>
      <c r="D192" s="46">
        <v>0.1</v>
      </c>
      <c r="E192" s="44">
        <v>5304.4639999999999</v>
      </c>
      <c r="F192" s="45">
        <v>52.800000000000004</v>
      </c>
      <c r="G192" s="44">
        <v>100.46333333333332</v>
      </c>
    </row>
    <row r="193" spans="1:7" x14ac:dyDescent="0.25">
      <c r="A193" s="3">
        <v>43191</v>
      </c>
      <c r="B193" s="2" t="s">
        <v>16</v>
      </c>
      <c r="C193" s="2" t="s">
        <v>84</v>
      </c>
      <c r="D193" s="46">
        <v>0.05</v>
      </c>
      <c r="E193" s="44">
        <v>68.14500000000001</v>
      </c>
      <c r="F193" s="45">
        <v>1.05</v>
      </c>
      <c r="G193" s="44">
        <v>64.900000000000006</v>
      </c>
    </row>
    <row r="194" spans="1:7" x14ac:dyDescent="0.25">
      <c r="A194" s="3">
        <v>43191</v>
      </c>
      <c r="B194" s="2" t="s">
        <v>17</v>
      </c>
      <c r="C194" s="2" t="s">
        <v>84</v>
      </c>
      <c r="D194" s="46">
        <v>0.05</v>
      </c>
      <c r="E194" s="44">
        <v>3250.6950000000002</v>
      </c>
      <c r="F194" s="45">
        <v>50.400000000000006</v>
      </c>
      <c r="G194" s="44">
        <v>64.497916666666669</v>
      </c>
    </row>
    <row r="195" spans="1:7" x14ac:dyDescent="0.25">
      <c r="A195" s="3">
        <v>43191</v>
      </c>
      <c r="B195" s="2" t="s">
        <v>18</v>
      </c>
      <c r="C195" s="2" t="s">
        <v>84</v>
      </c>
      <c r="D195" s="46">
        <v>0.05</v>
      </c>
      <c r="E195" s="44">
        <v>385.23450000000003</v>
      </c>
      <c r="F195" s="45">
        <v>5.25</v>
      </c>
      <c r="G195" s="44">
        <v>73.378</v>
      </c>
    </row>
    <row r="196" spans="1:7" x14ac:dyDescent="0.25">
      <c r="A196" s="3">
        <v>43191</v>
      </c>
      <c r="B196" s="2" t="s">
        <v>19</v>
      </c>
      <c r="C196" s="2" t="s">
        <v>84</v>
      </c>
      <c r="D196" s="46">
        <v>0.05</v>
      </c>
      <c r="E196" s="44">
        <v>1602.825</v>
      </c>
      <c r="F196" s="45">
        <v>24.150000000000002</v>
      </c>
      <c r="G196" s="44">
        <v>66.369565217391298</v>
      </c>
    </row>
    <row r="197" spans="1:7" x14ac:dyDescent="0.25">
      <c r="A197" s="3">
        <v>43191</v>
      </c>
      <c r="B197" s="2" t="s">
        <v>62</v>
      </c>
      <c r="C197" s="2" t="s">
        <v>84</v>
      </c>
      <c r="D197" s="46">
        <v>0.05</v>
      </c>
      <c r="E197" s="44">
        <v>199.26900000000001</v>
      </c>
      <c r="F197" s="45">
        <v>4.2</v>
      </c>
      <c r="G197" s="44">
        <v>47.445</v>
      </c>
    </row>
    <row r="198" spans="1:7" x14ac:dyDescent="0.25">
      <c r="A198" s="3">
        <v>43191</v>
      </c>
      <c r="B198" s="2" t="s">
        <v>39</v>
      </c>
      <c r="C198" s="2" t="s">
        <v>84</v>
      </c>
      <c r="D198" s="46">
        <v>0.05</v>
      </c>
      <c r="E198" s="44">
        <v>97.534500000000008</v>
      </c>
      <c r="F198" s="45">
        <v>3.1500000000000004</v>
      </c>
      <c r="G198" s="44">
        <v>30.963333333333331</v>
      </c>
    </row>
    <row r="199" spans="1:7" x14ac:dyDescent="0.25">
      <c r="A199" s="3">
        <v>43191</v>
      </c>
      <c r="B199" s="2" t="s">
        <v>20</v>
      </c>
      <c r="C199" s="2" t="s">
        <v>84</v>
      </c>
      <c r="D199" s="46">
        <v>0.05</v>
      </c>
      <c r="E199" s="44">
        <v>531.12149999999997</v>
      </c>
      <c r="F199" s="45">
        <v>6.3000000000000007</v>
      </c>
      <c r="G199" s="44">
        <v>84.304999999999993</v>
      </c>
    </row>
    <row r="200" spans="1:7" x14ac:dyDescent="0.25">
      <c r="A200" s="3">
        <v>43191</v>
      </c>
      <c r="B200" s="2" t="s">
        <v>21</v>
      </c>
      <c r="C200" s="2" t="s">
        <v>84</v>
      </c>
      <c r="D200" s="46">
        <v>0.05</v>
      </c>
      <c r="E200" s="44">
        <v>515.86500000000001</v>
      </c>
      <c r="F200" s="45">
        <v>8.4</v>
      </c>
      <c r="G200" s="44">
        <v>61.412500000000001</v>
      </c>
    </row>
    <row r="201" spans="1:7" x14ac:dyDescent="0.25">
      <c r="A201" s="3">
        <v>43191</v>
      </c>
      <c r="B201" s="2" t="s">
        <v>63</v>
      </c>
      <c r="C201" s="2" t="s">
        <v>84</v>
      </c>
      <c r="D201" s="46">
        <v>0.05</v>
      </c>
      <c r="E201" s="44">
        <v>50.295000000000002</v>
      </c>
      <c r="F201" s="45">
        <v>3.1500000000000004</v>
      </c>
      <c r="G201" s="44">
        <v>15.966666666666665</v>
      </c>
    </row>
    <row r="202" spans="1:7" x14ac:dyDescent="0.25">
      <c r="A202" s="3">
        <v>43191</v>
      </c>
      <c r="B202" s="2" t="s">
        <v>40</v>
      </c>
      <c r="C202" s="2" t="s">
        <v>86</v>
      </c>
      <c r="D202" s="46">
        <v>0.02</v>
      </c>
      <c r="E202" s="44">
        <v>641.55960000000005</v>
      </c>
      <c r="F202" s="45">
        <v>3.06</v>
      </c>
      <c r="G202" s="44">
        <v>209.66000000000003</v>
      </c>
    </row>
    <row r="203" spans="1:7" x14ac:dyDescent="0.25">
      <c r="A203" s="3">
        <v>43191</v>
      </c>
      <c r="B203" s="2" t="s">
        <v>22</v>
      </c>
      <c r="C203" s="2" t="s">
        <v>86</v>
      </c>
      <c r="D203" s="46">
        <v>0.02</v>
      </c>
      <c r="E203" s="44">
        <v>19595.454600000001</v>
      </c>
      <c r="F203" s="45">
        <v>194.82</v>
      </c>
      <c r="G203" s="44">
        <v>100.58235602094241</v>
      </c>
    </row>
    <row r="204" spans="1:7" x14ac:dyDescent="0.25">
      <c r="A204" s="3">
        <v>43191</v>
      </c>
      <c r="B204" s="2" t="s">
        <v>41</v>
      </c>
      <c r="C204" s="2" t="s">
        <v>86</v>
      </c>
      <c r="D204" s="46">
        <v>0.02</v>
      </c>
      <c r="E204" s="44">
        <v>2114.8068000000003</v>
      </c>
      <c r="F204" s="45">
        <v>12.24</v>
      </c>
      <c r="G204" s="44">
        <v>172.77833333333336</v>
      </c>
    </row>
    <row r="205" spans="1:7" x14ac:dyDescent="0.25">
      <c r="A205" s="3">
        <v>43191</v>
      </c>
      <c r="B205" s="2" t="s">
        <v>23</v>
      </c>
      <c r="C205" s="2" t="s">
        <v>86</v>
      </c>
      <c r="D205" s="46">
        <v>0.02</v>
      </c>
      <c r="E205" s="44">
        <v>18001.908599999999</v>
      </c>
      <c r="F205" s="45">
        <v>110.16</v>
      </c>
      <c r="G205" s="44">
        <v>163.41601851851851</v>
      </c>
    </row>
    <row r="206" spans="1:7" x14ac:dyDescent="0.25">
      <c r="A206" s="3">
        <v>43191</v>
      </c>
      <c r="B206" s="2" t="s">
        <v>5</v>
      </c>
      <c r="C206" s="2" t="s">
        <v>84</v>
      </c>
      <c r="D206" s="46">
        <v>0.05</v>
      </c>
      <c r="E206" s="44">
        <v>23264.157000000003</v>
      </c>
      <c r="F206" s="45">
        <v>189</v>
      </c>
      <c r="G206" s="44">
        <v>123.09077777777779</v>
      </c>
    </row>
    <row r="207" spans="1:7" x14ac:dyDescent="0.25">
      <c r="A207" s="3">
        <v>43191</v>
      </c>
      <c r="B207" s="2" t="s">
        <v>56</v>
      </c>
      <c r="C207" s="2" t="s">
        <v>86</v>
      </c>
      <c r="D207" s="46">
        <v>0.02</v>
      </c>
      <c r="E207" s="44">
        <v>509.38799999999998</v>
      </c>
      <c r="F207" s="45">
        <v>10.199999999999999</v>
      </c>
      <c r="G207" s="44">
        <v>49.94</v>
      </c>
    </row>
    <row r="208" spans="1:7" x14ac:dyDescent="0.25">
      <c r="A208" s="3">
        <v>43191</v>
      </c>
      <c r="B208" s="2" t="s">
        <v>42</v>
      </c>
      <c r="C208" s="2" t="s">
        <v>86</v>
      </c>
      <c r="D208" s="46">
        <v>0.02</v>
      </c>
      <c r="E208" s="44">
        <v>815.79599999999994</v>
      </c>
      <c r="F208" s="45">
        <v>2.04</v>
      </c>
      <c r="G208" s="44">
        <v>399.9</v>
      </c>
    </row>
    <row r="209" spans="1:7" x14ac:dyDescent="0.25">
      <c r="A209" s="3">
        <v>43191</v>
      </c>
      <c r="B209" s="2" t="s">
        <v>43</v>
      </c>
      <c r="C209" s="2" t="s">
        <v>86</v>
      </c>
      <c r="D209" s="46">
        <v>0.02</v>
      </c>
      <c r="E209" s="44">
        <v>13.158000000000001</v>
      </c>
      <c r="F209" s="45">
        <v>1.02</v>
      </c>
      <c r="G209" s="44">
        <v>12.9</v>
      </c>
    </row>
    <row r="210" spans="1:7" x14ac:dyDescent="0.25">
      <c r="A210" s="3">
        <v>43191</v>
      </c>
      <c r="B210" s="2" t="s">
        <v>57</v>
      </c>
      <c r="C210" s="2" t="s">
        <v>86</v>
      </c>
      <c r="D210" s="46">
        <v>0.02</v>
      </c>
      <c r="E210" s="44">
        <v>2459.3220000000001</v>
      </c>
      <c r="F210" s="45">
        <v>17.34</v>
      </c>
      <c r="G210" s="44">
        <v>141.8294117647059</v>
      </c>
    </row>
    <row r="211" spans="1:7" x14ac:dyDescent="0.25">
      <c r="A211" s="3">
        <v>43191</v>
      </c>
      <c r="B211" s="2" t="s">
        <v>58</v>
      </c>
      <c r="C211" s="2" t="s">
        <v>86</v>
      </c>
      <c r="D211" s="46">
        <v>0.02</v>
      </c>
      <c r="E211" s="44">
        <v>1634.7438000000002</v>
      </c>
      <c r="F211" s="45">
        <v>5.0999999999999996</v>
      </c>
      <c r="G211" s="44">
        <v>320.53800000000007</v>
      </c>
    </row>
    <row r="212" spans="1:7" x14ac:dyDescent="0.25">
      <c r="A212" s="3">
        <v>43191</v>
      </c>
      <c r="B212" s="2" t="s">
        <v>24</v>
      </c>
      <c r="C212" s="2" t="s">
        <v>86</v>
      </c>
      <c r="D212" s="46">
        <v>0.02</v>
      </c>
      <c r="E212" s="44">
        <v>12721.623600000001</v>
      </c>
      <c r="F212" s="45">
        <v>172.38</v>
      </c>
      <c r="G212" s="44">
        <v>73.799881656804743</v>
      </c>
    </row>
    <row r="213" spans="1:7" x14ac:dyDescent="0.25">
      <c r="A213" s="3">
        <v>43191</v>
      </c>
      <c r="B213" s="2" t="s">
        <v>44</v>
      </c>
      <c r="C213" s="2" t="s">
        <v>86</v>
      </c>
      <c r="D213" s="46">
        <v>0.02</v>
      </c>
      <c r="E213" s="44">
        <v>1054.0680000000002</v>
      </c>
      <c r="F213" s="45">
        <v>9.18</v>
      </c>
      <c r="G213" s="44">
        <v>114.82222222222225</v>
      </c>
    </row>
    <row r="214" spans="1:7" x14ac:dyDescent="0.25">
      <c r="A214" s="3">
        <v>43191</v>
      </c>
      <c r="B214" s="2" t="s">
        <v>69</v>
      </c>
      <c r="C214" s="2" t="s">
        <v>84</v>
      </c>
      <c r="D214" s="46">
        <v>0.05</v>
      </c>
      <c r="E214" s="44">
        <v>25.200000000000003</v>
      </c>
      <c r="F214" s="45">
        <v>1.05</v>
      </c>
      <c r="G214" s="44">
        <v>24</v>
      </c>
    </row>
    <row r="215" spans="1:7" x14ac:dyDescent="0.25">
      <c r="A215" s="3">
        <v>43191</v>
      </c>
      <c r="B215" s="2" t="s">
        <v>45</v>
      </c>
      <c r="C215" s="2" t="s">
        <v>84</v>
      </c>
      <c r="D215" s="46">
        <v>0.05</v>
      </c>
      <c r="E215" s="44">
        <v>7444.8150000000005</v>
      </c>
      <c r="F215" s="45">
        <v>50.400000000000006</v>
      </c>
      <c r="G215" s="44">
        <v>147.71458333333334</v>
      </c>
    </row>
    <row r="216" spans="1:7" x14ac:dyDescent="0.25">
      <c r="A216" s="3">
        <v>43191</v>
      </c>
      <c r="B216" s="2" t="s">
        <v>26</v>
      </c>
      <c r="C216" s="2" t="s">
        <v>84</v>
      </c>
      <c r="D216" s="46">
        <v>0.05</v>
      </c>
      <c r="E216" s="44">
        <v>4247.5440000000008</v>
      </c>
      <c r="F216" s="45">
        <v>19.95</v>
      </c>
      <c r="G216" s="44">
        <v>212.90947368421058</v>
      </c>
    </row>
    <row r="217" spans="1:7" x14ac:dyDescent="0.25">
      <c r="A217" s="3">
        <v>43191</v>
      </c>
      <c r="B217" s="2" t="s">
        <v>46</v>
      </c>
      <c r="C217" s="2" t="s">
        <v>84</v>
      </c>
      <c r="D217" s="46">
        <v>0.05</v>
      </c>
      <c r="E217" s="44">
        <v>62.79</v>
      </c>
      <c r="F217" s="45">
        <v>2.1</v>
      </c>
      <c r="G217" s="44">
        <v>29.9</v>
      </c>
    </row>
    <row r="218" spans="1:7" x14ac:dyDescent="0.25">
      <c r="A218" s="3">
        <v>43191</v>
      </c>
      <c r="B218" s="2" t="s">
        <v>47</v>
      </c>
      <c r="C218" s="2" t="s">
        <v>84</v>
      </c>
      <c r="D218" s="46">
        <v>0.05</v>
      </c>
      <c r="E218" s="44">
        <v>4009.3515000000002</v>
      </c>
      <c r="F218" s="45">
        <v>16.8</v>
      </c>
      <c r="G218" s="44">
        <v>238.65187499999999</v>
      </c>
    </row>
    <row r="219" spans="1:7" x14ac:dyDescent="0.25">
      <c r="A219" s="3">
        <v>43191</v>
      </c>
      <c r="B219" s="2" t="s">
        <v>27</v>
      </c>
      <c r="C219" s="2" t="s">
        <v>86</v>
      </c>
      <c r="D219" s="46">
        <v>0.02</v>
      </c>
      <c r="E219" s="44">
        <v>9599.5259999999998</v>
      </c>
      <c r="F219" s="45">
        <v>59.160000000000004</v>
      </c>
      <c r="G219" s="44">
        <v>162.26379310344825</v>
      </c>
    </row>
    <row r="220" spans="1:7" x14ac:dyDescent="0.25">
      <c r="A220" s="3">
        <v>43191</v>
      </c>
      <c r="B220" s="2" t="s">
        <v>28</v>
      </c>
      <c r="C220" s="2" t="s">
        <v>84</v>
      </c>
      <c r="D220" s="46">
        <v>0.05</v>
      </c>
      <c r="E220" s="44">
        <v>20408.335499999997</v>
      </c>
      <c r="F220" s="45">
        <v>106.05000000000001</v>
      </c>
      <c r="G220" s="44">
        <v>192.44069306930689</v>
      </c>
    </row>
    <row r="221" spans="1:7" x14ac:dyDescent="0.25">
      <c r="A221" s="3">
        <v>43191</v>
      </c>
      <c r="B221" s="2" t="s">
        <v>29</v>
      </c>
      <c r="C221" s="2" t="s">
        <v>84</v>
      </c>
      <c r="D221" s="46">
        <v>0.05</v>
      </c>
      <c r="E221" s="44">
        <v>6492.0345000000007</v>
      </c>
      <c r="F221" s="45">
        <v>53.550000000000004</v>
      </c>
      <c r="G221" s="44">
        <v>121.23313725490196</v>
      </c>
    </row>
    <row r="222" spans="1:7" x14ac:dyDescent="0.25">
      <c r="A222" s="3">
        <v>43191</v>
      </c>
      <c r="B222" s="2" t="s">
        <v>64</v>
      </c>
      <c r="C222" s="2" t="s">
        <v>84</v>
      </c>
      <c r="D222" s="46">
        <v>0.05</v>
      </c>
      <c r="E222" s="44">
        <v>134.46300000000002</v>
      </c>
      <c r="F222" s="45">
        <v>3.1500000000000004</v>
      </c>
      <c r="G222" s="44">
        <v>42.686666666666667</v>
      </c>
    </row>
    <row r="223" spans="1:7" x14ac:dyDescent="0.25">
      <c r="A223" s="3">
        <v>43191</v>
      </c>
      <c r="B223" s="2" t="s">
        <v>49</v>
      </c>
      <c r="C223" s="2" t="s">
        <v>84</v>
      </c>
      <c r="D223" s="46">
        <v>0.05</v>
      </c>
      <c r="E223" s="44">
        <v>24270.728999999999</v>
      </c>
      <c r="F223" s="45">
        <v>21</v>
      </c>
      <c r="G223" s="44">
        <v>1155.749</v>
      </c>
    </row>
    <row r="224" spans="1:7" x14ac:dyDescent="0.25">
      <c r="A224" s="3">
        <v>43191</v>
      </c>
      <c r="B224" s="2" t="s">
        <v>30</v>
      </c>
      <c r="C224" s="2" t="s">
        <v>84</v>
      </c>
      <c r="D224" s="46">
        <v>0.05</v>
      </c>
      <c r="E224" s="44">
        <v>24146.913000000004</v>
      </c>
      <c r="F224" s="45">
        <v>213.15</v>
      </c>
      <c r="G224" s="44">
        <v>113.28600985221676</v>
      </c>
    </row>
    <row r="225" spans="1:7" x14ac:dyDescent="0.25">
      <c r="A225" s="3">
        <v>43191</v>
      </c>
      <c r="B225" s="2" t="s">
        <v>50</v>
      </c>
      <c r="C225" s="2" t="s">
        <v>84</v>
      </c>
      <c r="D225" s="46">
        <v>0.05</v>
      </c>
      <c r="E225" s="44">
        <v>4779.0119999999997</v>
      </c>
      <c r="F225" s="45">
        <v>36.75</v>
      </c>
      <c r="G225" s="44">
        <v>130.04114285714286</v>
      </c>
    </row>
    <row r="226" spans="1:7" x14ac:dyDescent="0.25">
      <c r="A226" s="3">
        <v>43191</v>
      </c>
      <c r="B226" s="2" t="s">
        <v>59</v>
      </c>
      <c r="C226" s="2" t="s">
        <v>85</v>
      </c>
      <c r="D226" s="46">
        <v>0.1</v>
      </c>
      <c r="E226" s="44">
        <v>1224.1680000000001</v>
      </c>
      <c r="F226" s="45">
        <v>12.100000000000001</v>
      </c>
      <c r="G226" s="44">
        <v>101.17090909090909</v>
      </c>
    </row>
    <row r="227" spans="1:7" x14ac:dyDescent="0.25">
      <c r="A227" s="3">
        <v>43191</v>
      </c>
      <c r="B227" s="2" t="s">
        <v>31</v>
      </c>
      <c r="C227" s="2" t="s">
        <v>84</v>
      </c>
      <c r="D227" s="46">
        <v>0.05</v>
      </c>
      <c r="E227" s="44">
        <v>7490.6369999999997</v>
      </c>
      <c r="F227" s="45">
        <v>149.1</v>
      </c>
      <c r="G227" s="44">
        <v>50.239014084507041</v>
      </c>
    </row>
    <row r="228" spans="1:7" x14ac:dyDescent="0.25">
      <c r="A228" s="3">
        <v>43191</v>
      </c>
      <c r="B228" s="2" t="s">
        <v>32</v>
      </c>
      <c r="C228" s="2" t="s">
        <v>84</v>
      </c>
      <c r="D228" s="46">
        <v>0.05</v>
      </c>
      <c r="E228" s="44">
        <v>13691.401500000002</v>
      </c>
      <c r="F228" s="45">
        <v>118.65</v>
      </c>
      <c r="G228" s="44">
        <v>115.39318584070797</v>
      </c>
    </row>
    <row r="229" spans="1:7" x14ac:dyDescent="0.25">
      <c r="A229" s="3">
        <v>43191</v>
      </c>
      <c r="B229" s="2" t="s">
        <v>33</v>
      </c>
      <c r="C229" s="2" t="s">
        <v>84</v>
      </c>
      <c r="D229" s="46">
        <v>0.05</v>
      </c>
      <c r="E229" s="44">
        <v>8870.5995000000003</v>
      </c>
      <c r="F229" s="45">
        <v>72.45</v>
      </c>
      <c r="G229" s="44">
        <v>122.43753623188405</v>
      </c>
    </row>
    <row r="230" spans="1:7" x14ac:dyDescent="0.25">
      <c r="A230" s="3">
        <v>43191</v>
      </c>
      <c r="B230" s="2" t="s">
        <v>34</v>
      </c>
      <c r="C230" s="2" t="s">
        <v>84</v>
      </c>
      <c r="D230" s="46">
        <v>0.05</v>
      </c>
      <c r="E230" s="44">
        <v>24502.894500000002</v>
      </c>
      <c r="F230" s="45">
        <v>99.75</v>
      </c>
      <c r="G230" s="44">
        <v>245.64305263157897</v>
      </c>
    </row>
    <row r="231" spans="1:7" x14ac:dyDescent="0.25">
      <c r="A231" s="3">
        <v>43221</v>
      </c>
      <c r="B231" s="2" t="s">
        <v>35</v>
      </c>
      <c r="C231" s="2" t="s">
        <v>84</v>
      </c>
      <c r="D231" s="46">
        <v>0.05</v>
      </c>
      <c r="E231" s="44">
        <v>1658.9370000000001</v>
      </c>
      <c r="F231" s="45">
        <v>4.2</v>
      </c>
      <c r="G231" s="44">
        <v>394.98500000000001</v>
      </c>
    </row>
    <row r="232" spans="1:7" x14ac:dyDescent="0.25">
      <c r="A232" s="3">
        <v>43221</v>
      </c>
      <c r="B232" s="2" t="s">
        <v>6</v>
      </c>
      <c r="C232" s="2" t="s">
        <v>84</v>
      </c>
      <c r="D232" s="46">
        <v>0.05</v>
      </c>
      <c r="E232" s="44">
        <v>960.61350000000004</v>
      </c>
      <c r="F232" s="45">
        <v>7.3500000000000005</v>
      </c>
      <c r="G232" s="44">
        <v>130.69571428571427</v>
      </c>
    </row>
    <row r="233" spans="1:7" x14ac:dyDescent="0.25">
      <c r="A233" s="3">
        <v>43221</v>
      </c>
      <c r="B233" s="2" t="s">
        <v>60</v>
      </c>
      <c r="C233" s="2" t="s">
        <v>84</v>
      </c>
      <c r="D233" s="46">
        <v>0.05</v>
      </c>
      <c r="E233" s="44">
        <v>7273.6125000000002</v>
      </c>
      <c r="F233" s="45">
        <v>6.3000000000000007</v>
      </c>
      <c r="G233" s="44">
        <v>1154.5416666666665</v>
      </c>
    </row>
    <row r="234" spans="1:7" x14ac:dyDescent="0.25">
      <c r="A234" s="3">
        <v>43221</v>
      </c>
      <c r="B234" s="2" t="s">
        <v>71</v>
      </c>
      <c r="C234" s="2" t="s">
        <v>84</v>
      </c>
      <c r="D234" s="46">
        <v>0.05</v>
      </c>
      <c r="E234" s="44">
        <v>23.089500000000001</v>
      </c>
      <c r="F234" s="45">
        <v>1.05</v>
      </c>
      <c r="G234" s="44">
        <v>21.99</v>
      </c>
    </row>
    <row r="235" spans="1:7" x14ac:dyDescent="0.25">
      <c r="A235" s="3">
        <v>43221</v>
      </c>
      <c r="B235" s="2" t="s">
        <v>7</v>
      </c>
      <c r="C235" s="2" t="s">
        <v>85</v>
      </c>
      <c r="D235" s="46">
        <v>0.1</v>
      </c>
      <c r="E235" s="44">
        <v>2289.2980000000002</v>
      </c>
      <c r="F235" s="45">
        <v>18.700000000000003</v>
      </c>
      <c r="G235" s="44">
        <v>122.42235294117647</v>
      </c>
    </row>
    <row r="236" spans="1:7" x14ac:dyDescent="0.25">
      <c r="A236" s="3">
        <v>43221</v>
      </c>
      <c r="B236" s="2" t="s">
        <v>8</v>
      </c>
      <c r="C236" s="2" t="s">
        <v>84</v>
      </c>
      <c r="D236" s="46">
        <v>0.05</v>
      </c>
      <c r="E236" s="44">
        <v>18376.3125</v>
      </c>
      <c r="F236" s="45">
        <v>118.65</v>
      </c>
      <c r="G236" s="44">
        <v>154.8783185840708</v>
      </c>
    </row>
    <row r="237" spans="1:7" x14ac:dyDescent="0.25">
      <c r="A237" s="3">
        <v>43221</v>
      </c>
      <c r="B237" s="2" t="s">
        <v>9</v>
      </c>
      <c r="C237" s="2" t="s">
        <v>84</v>
      </c>
      <c r="D237" s="46">
        <v>0.05</v>
      </c>
      <c r="E237" s="44">
        <v>9380.405999999999</v>
      </c>
      <c r="F237" s="45">
        <v>107.10000000000001</v>
      </c>
      <c r="G237" s="44">
        <v>87.58549019607841</v>
      </c>
    </row>
    <row r="238" spans="1:7" x14ac:dyDescent="0.25">
      <c r="A238" s="3">
        <v>43221</v>
      </c>
      <c r="B238" s="2" t="s">
        <v>10</v>
      </c>
      <c r="C238" s="2" t="s">
        <v>86</v>
      </c>
      <c r="D238" s="46">
        <v>0.02</v>
      </c>
      <c r="E238" s="44">
        <v>33338.292000000001</v>
      </c>
      <c r="F238" s="45">
        <v>368.22</v>
      </c>
      <c r="G238" s="44">
        <v>90.539058171745154</v>
      </c>
    </row>
    <row r="239" spans="1:7" x14ac:dyDescent="0.25">
      <c r="A239" s="3">
        <v>43221</v>
      </c>
      <c r="B239" s="2" t="s">
        <v>36</v>
      </c>
      <c r="C239" s="2" t="s">
        <v>84</v>
      </c>
      <c r="D239" s="46">
        <v>0.05</v>
      </c>
      <c r="E239" s="44">
        <v>1933.6485</v>
      </c>
      <c r="F239" s="45">
        <v>21</v>
      </c>
      <c r="G239" s="44">
        <v>92.078500000000005</v>
      </c>
    </row>
    <row r="240" spans="1:7" x14ac:dyDescent="0.25">
      <c r="A240" s="3">
        <v>43221</v>
      </c>
      <c r="B240" s="2" t="s">
        <v>51</v>
      </c>
      <c r="C240" s="2" t="s">
        <v>84</v>
      </c>
      <c r="D240" s="46">
        <v>0.05</v>
      </c>
      <c r="E240" s="44">
        <v>275.10000000000002</v>
      </c>
      <c r="F240" s="45">
        <v>3.1500000000000004</v>
      </c>
      <c r="G240" s="44">
        <v>87.333333333333329</v>
      </c>
    </row>
    <row r="241" spans="1:7" x14ac:dyDescent="0.25">
      <c r="A241" s="3">
        <v>43221</v>
      </c>
      <c r="B241" s="2" t="s">
        <v>52</v>
      </c>
      <c r="C241" s="2" t="s">
        <v>84</v>
      </c>
      <c r="D241" s="46">
        <v>0.05</v>
      </c>
      <c r="E241" s="44">
        <v>61.95</v>
      </c>
      <c r="F241" s="45">
        <v>1.05</v>
      </c>
      <c r="G241" s="44">
        <v>59</v>
      </c>
    </row>
    <row r="242" spans="1:7" x14ac:dyDescent="0.25">
      <c r="A242" s="3">
        <v>43221</v>
      </c>
      <c r="B242" s="2" t="s">
        <v>11</v>
      </c>
      <c r="C242" s="2" t="s">
        <v>85</v>
      </c>
      <c r="D242" s="46">
        <v>0.1</v>
      </c>
      <c r="E242" s="44">
        <v>49235.329000000005</v>
      </c>
      <c r="F242" s="45">
        <v>339.90000000000003</v>
      </c>
      <c r="G242" s="44">
        <v>144.85239482200646</v>
      </c>
    </row>
    <row r="243" spans="1:7" x14ac:dyDescent="0.25">
      <c r="A243" s="3">
        <v>43221</v>
      </c>
      <c r="B243" s="2" t="s">
        <v>12</v>
      </c>
      <c r="C243" s="2" t="s">
        <v>85</v>
      </c>
      <c r="D243" s="46">
        <v>0.1</v>
      </c>
      <c r="E243" s="44">
        <v>2757.92</v>
      </c>
      <c r="F243" s="45">
        <v>31.900000000000002</v>
      </c>
      <c r="G243" s="44">
        <v>86.455172413793093</v>
      </c>
    </row>
    <row r="244" spans="1:7" x14ac:dyDescent="0.25">
      <c r="A244" s="3">
        <v>43221</v>
      </c>
      <c r="B244" s="2" t="s">
        <v>53</v>
      </c>
      <c r="C244" s="2" t="s">
        <v>86</v>
      </c>
      <c r="D244" s="46">
        <v>0.02</v>
      </c>
      <c r="E244" s="44">
        <v>101.9898</v>
      </c>
      <c r="F244" s="45">
        <v>1.02</v>
      </c>
      <c r="G244" s="44">
        <v>99.99</v>
      </c>
    </row>
    <row r="245" spans="1:7" x14ac:dyDescent="0.25">
      <c r="A245" s="3">
        <v>43221</v>
      </c>
      <c r="B245" s="2" t="s">
        <v>13</v>
      </c>
      <c r="C245" s="2" t="s">
        <v>84</v>
      </c>
      <c r="D245" s="46">
        <v>0.05</v>
      </c>
      <c r="E245" s="44">
        <v>34105.68</v>
      </c>
      <c r="F245" s="45">
        <v>253.05</v>
      </c>
      <c r="G245" s="44">
        <v>134.77842323651453</v>
      </c>
    </row>
    <row r="246" spans="1:7" x14ac:dyDescent="0.25">
      <c r="A246" s="3">
        <v>43221</v>
      </c>
      <c r="B246" s="2" t="s">
        <v>55</v>
      </c>
      <c r="C246" s="2" t="s">
        <v>86</v>
      </c>
      <c r="D246" s="46">
        <v>0.02</v>
      </c>
      <c r="E246" s="44">
        <v>1476.2867999999999</v>
      </c>
      <c r="F246" s="45">
        <v>7.1400000000000006</v>
      </c>
      <c r="G246" s="44">
        <v>206.76285714285711</v>
      </c>
    </row>
    <row r="247" spans="1:7" x14ac:dyDescent="0.25">
      <c r="A247" s="3">
        <v>43221</v>
      </c>
      <c r="B247" s="2" t="s">
        <v>67</v>
      </c>
      <c r="C247" s="2" t="s">
        <v>84</v>
      </c>
      <c r="D247" s="46">
        <v>0.05</v>
      </c>
      <c r="E247" s="44">
        <v>844.09500000000003</v>
      </c>
      <c r="F247" s="45">
        <v>2.1</v>
      </c>
      <c r="G247" s="44">
        <v>401.95</v>
      </c>
    </row>
    <row r="248" spans="1:7" x14ac:dyDescent="0.25">
      <c r="A248" s="3">
        <v>43221</v>
      </c>
      <c r="B248" s="2" t="s">
        <v>61</v>
      </c>
      <c r="C248" s="2" t="s">
        <v>84</v>
      </c>
      <c r="D248" s="46">
        <v>0.05</v>
      </c>
      <c r="E248" s="44">
        <v>94.5</v>
      </c>
      <c r="F248" s="45">
        <v>1.05</v>
      </c>
      <c r="G248" s="44">
        <v>90</v>
      </c>
    </row>
    <row r="249" spans="1:7" x14ac:dyDescent="0.25">
      <c r="A249" s="3">
        <v>43221</v>
      </c>
      <c r="B249" s="2" t="s">
        <v>38</v>
      </c>
      <c r="C249" s="2" t="s">
        <v>84</v>
      </c>
      <c r="D249" s="46">
        <v>0.05</v>
      </c>
      <c r="E249" s="44">
        <v>94.08</v>
      </c>
      <c r="F249" s="45">
        <v>4.2</v>
      </c>
      <c r="G249" s="44">
        <v>22.4</v>
      </c>
    </row>
    <row r="250" spans="1:7" x14ac:dyDescent="0.25">
      <c r="A250" s="3">
        <v>43221</v>
      </c>
      <c r="B250" s="2" t="s">
        <v>15</v>
      </c>
      <c r="C250" s="2" t="s">
        <v>85</v>
      </c>
      <c r="D250" s="46">
        <v>0.1</v>
      </c>
      <c r="E250" s="44">
        <v>6764.0210000000006</v>
      </c>
      <c r="F250" s="45">
        <v>71.5</v>
      </c>
      <c r="G250" s="44">
        <v>94.601692307692318</v>
      </c>
    </row>
    <row r="251" spans="1:7" x14ac:dyDescent="0.25">
      <c r="A251" s="3">
        <v>43221</v>
      </c>
      <c r="B251" s="2" t="s">
        <v>17</v>
      </c>
      <c r="C251" s="2" t="s">
        <v>84</v>
      </c>
      <c r="D251" s="46">
        <v>0.05</v>
      </c>
      <c r="E251" s="44">
        <v>7551.6</v>
      </c>
      <c r="F251" s="45">
        <v>109.2</v>
      </c>
      <c r="G251" s="44">
        <v>69.15384615384616</v>
      </c>
    </row>
    <row r="252" spans="1:7" x14ac:dyDescent="0.25">
      <c r="A252" s="3">
        <v>43221</v>
      </c>
      <c r="B252" s="2" t="s">
        <v>18</v>
      </c>
      <c r="C252" s="2" t="s">
        <v>84</v>
      </c>
      <c r="D252" s="46">
        <v>0.05</v>
      </c>
      <c r="E252" s="44">
        <v>639.34500000000003</v>
      </c>
      <c r="F252" s="45">
        <v>4.2</v>
      </c>
      <c r="G252" s="44">
        <v>152.22499999999999</v>
      </c>
    </row>
    <row r="253" spans="1:7" x14ac:dyDescent="0.25">
      <c r="A253" s="3">
        <v>43221</v>
      </c>
      <c r="B253" s="2" t="s">
        <v>19</v>
      </c>
      <c r="C253" s="2" t="s">
        <v>84</v>
      </c>
      <c r="D253" s="46">
        <v>0.05</v>
      </c>
      <c r="E253" s="44">
        <v>1753.0170000000001</v>
      </c>
      <c r="F253" s="45">
        <v>23.1</v>
      </c>
      <c r="G253" s="44">
        <v>75.88818181818182</v>
      </c>
    </row>
    <row r="254" spans="1:7" x14ac:dyDescent="0.25">
      <c r="A254" s="3">
        <v>43221</v>
      </c>
      <c r="B254" s="2" t="s">
        <v>39</v>
      </c>
      <c r="C254" s="2" t="s">
        <v>84</v>
      </c>
      <c r="D254" s="46">
        <v>0.05</v>
      </c>
      <c r="E254" s="44">
        <v>297.67500000000001</v>
      </c>
      <c r="F254" s="45">
        <v>7.3500000000000005</v>
      </c>
      <c r="G254" s="44">
        <v>40.5</v>
      </c>
    </row>
    <row r="255" spans="1:7" x14ac:dyDescent="0.25">
      <c r="A255" s="3">
        <v>43221</v>
      </c>
      <c r="B255" s="2" t="s">
        <v>20</v>
      </c>
      <c r="C255" s="2" t="s">
        <v>84</v>
      </c>
      <c r="D255" s="46">
        <v>0.05</v>
      </c>
      <c r="E255" s="44">
        <v>468.12150000000003</v>
      </c>
      <c r="F255" s="45">
        <v>9.4500000000000011</v>
      </c>
      <c r="G255" s="44">
        <v>49.536666666666662</v>
      </c>
    </row>
    <row r="256" spans="1:7" x14ac:dyDescent="0.25">
      <c r="A256" s="3">
        <v>43221</v>
      </c>
      <c r="B256" s="2" t="s">
        <v>21</v>
      </c>
      <c r="C256" s="2" t="s">
        <v>84</v>
      </c>
      <c r="D256" s="46">
        <v>0.05</v>
      </c>
      <c r="E256" s="44">
        <v>407.29500000000002</v>
      </c>
      <c r="F256" s="45">
        <v>3.1500000000000004</v>
      </c>
      <c r="G256" s="44">
        <v>129.29999999999998</v>
      </c>
    </row>
    <row r="257" spans="1:7" x14ac:dyDescent="0.25">
      <c r="A257" s="3">
        <v>43221</v>
      </c>
      <c r="B257" s="2" t="s">
        <v>63</v>
      </c>
      <c r="C257" s="2" t="s">
        <v>84</v>
      </c>
      <c r="D257" s="46">
        <v>0.05</v>
      </c>
      <c r="E257" s="44">
        <v>362.7645</v>
      </c>
      <c r="F257" s="45">
        <v>12.600000000000001</v>
      </c>
      <c r="G257" s="44">
        <v>28.790833333333328</v>
      </c>
    </row>
    <row r="258" spans="1:7" x14ac:dyDescent="0.25">
      <c r="A258" s="3">
        <v>43221</v>
      </c>
      <c r="B258" s="2" t="s">
        <v>40</v>
      </c>
      <c r="C258" s="2" t="s">
        <v>86</v>
      </c>
      <c r="D258" s="46">
        <v>0.02</v>
      </c>
      <c r="E258" s="44">
        <v>2417.3694</v>
      </c>
      <c r="F258" s="45">
        <v>9.18</v>
      </c>
      <c r="G258" s="44">
        <v>263.33000000000004</v>
      </c>
    </row>
    <row r="259" spans="1:7" x14ac:dyDescent="0.25">
      <c r="A259" s="3">
        <v>43221</v>
      </c>
      <c r="B259" s="2" t="s">
        <v>22</v>
      </c>
      <c r="C259" s="2" t="s">
        <v>86</v>
      </c>
      <c r="D259" s="46">
        <v>0.02</v>
      </c>
      <c r="E259" s="44">
        <v>22758.790800000002</v>
      </c>
      <c r="F259" s="45">
        <v>276.42</v>
      </c>
      <c r="G259" s="44">
        <v>82.334095940959415</v>
      </c>
    </row>
    <row r="260" spans="1:7" x14ac:dyDescent="0.25">
      <c r="A260" s="3">
        <v>43221</v>
      </c>
      <c r="B260" s="2" t="s">
        <v>41</v>
      </c>
      <c r="C260" s="2" t="s">
        <v>86</v>
      </c>
      <c r="D260" s="46">
        <v>0.02</v>
      </c>
      <c r="E260" s="44">
        <v>4569.0389999999998</v>
      </c>
      <c r="F260" s="45">
        <v>32.64</v>
      </c>
      <c r="G260" s="44">
        <v>139.98281249999999</v>
      </c>
    </row>
    <row r="261" spans="1:7" x14ac:dyDescent="0.25">
      <c r="A261" s="3">
        <v>43221</v>
      </c>
      <c r="B261" s="2" t="s">
        <v>23</v>
      </c>
      <c r="C261" s="2" t="s">
        <v>86</v>
      </c>
      <c r="D261" s="46">
        <v>0.02</v>
      </c>
      <c r="E261" s="44">
        <v>20780.021400000001</v>
      </c>
      <c r="F261" s="45">
        <v>140.76</v>
      </c>
      <c r="G261" s="44">
        <v>147.62731884057973</v>
      </c>
    </row>
    <row r="262" spans="1:7" x14ac:dyDescent="0.25">
      <c r="A262" s="3">
        <v>43221</v>
      </c>
      <c r="B262" s="2" t="s">
        <v>5</v>
      </c>
      <c r="C262" s="2" t="s">
        <v>84</v>
      </c>
      <c r="D262" s="46">
        <v>0.05</v>
      </c>
      <c r="E262" s="44">
        <v>48657.063000000002</v>
      </c>
      <c r="F262" s="45">
        <v>298.2</v>
      </c>
      <c r="G262" s="44">
        <v>163.16922535211268</v>
      </c>
    </row>
    <row r="263" spans="1:7" x14ac:dyDescent="0.25">
      <c r="A263" s="3">
        <v>43221</v>
      </c>
      <c r="B263" s="2" t="s">
        <v>56</v>
      </c>
      <c r="C263" s="2" t="s">
        <v>86</v>
      </c>
      <c r="D263" s="46">
        <v>0.02</v>
      </c>
      <c r="E263" s="44">
        <v>1951.0458000000001</v>
      </c>
      <c r="F263" s="45">
        <v>28.560000000000002</v>
      </c>
      <c r="G263" s="44">
        <v>68.313928571428576</v>
      </c>
    </row>
    <row r="264" spans="1:7" x14ac:dyDescent="0.25">
      <c r="A264" s="3">
        <v>43221</v>
      </c>
      <c r="B264" s="2" t="s">
        <v>42</v>
      </c>
      <c r="C264" s="2" t="s">
        <v>86</v>
      </c>
      <c r="D264" s="46">
        <v>0.02</v>
      </c>
      <c r="E264" s="44">
        <v>1332.171</v>
      </c>
      <c r="F264" s="45">
        <v>7.1400000000000006</v>
      </c>
      <c r="G264" s="44">
        <v>186.57857142857142</v>
      </c>
    </row>
    <row r="265" spans="1:7" x14ac:dyDescent="0.25">
      <c r="A265" s="3">
        <v>43221</v>
      </c>
      <c r="B265" s="2" t="s">
        <v>57</v>
      </c>
      <c r="C265" s="2" t="s">
        <v>86</v>
      </c>
      <c r="D265" s="46">
        <v>0.02</v>
      </c>
      <c r="E265" s="44">
        <v>5216.3513999999996</v>
      </c>
      <c r="F265" s="45">
        <v>35.700000000000003</v>
      </c>
      <c r="G265" s="44">
        <v>146.11628571428568</v>
      </c>
    </row>
    <row r="266" spans="1:7" x14ac:dyDescent="0.25">
      <c r="A266" s="3">
        <v>43221</v>
      </c>
      <c r="B266" s="2" t="s">
        <v>58</v>
      </c>
      <c r="C266" s="2" t="s">
        <v>86</v>
      </c>
      <c r="D266" s="46">
        <v>0.02</v>
      </c>
      <c r="E266" s="44">
        <v>1652.91</v>
      </c>
      <c r="F266" s="45">
        <v>7.1400000000000006</v>
      </c>
      <c r="G266" s="44">
        <v>231.5</v>
      </c>
    </row>
    <row r="267" spans="1:7" x14ac:dyDescent="0.25">
      <c r="A267" s="3">
        <v>43221</v>
      </c>
      <c r="B267" s="2" t="s">
        <v>24</v>
      </c>
      <c r="C267" s="2" t="s">
        <v>86</v>
      </c>
      <c r="D267" s="46">
        <v>0.02</v>
      </c>
      <c r="E267" s="44">
        <v>21802.398000000001</v>
      </c>
      <c r="F267" s="45">
        <v>308.04000000000002</v>
      </c>
      <c r="G267" s="44">
        <v>70.777814569536417</v>
      </c>
    </row>
    <row r="268" spans="1:7" x14ac:dyDescent="0.25">
      <c r="A268" s="3">
        <v>43221</v>
      </c>
      <c r="B268" s="2" t="s">
        <v>25</v>
      </c>
      <c r="C268" s="2" t="s">
        <v>84</v>
      </c>
      <c r="D268" s="46">
        <v>0.05</v>
      </c>
      <c r="E268" s="44">
        <v>545.79</v>
      </c>
      <c r="F268" s="45">
        <v>2.1</v>
      </c>
      <c r="G268" s="44">
        <v>259.89999999999998</v>
      </c>
    </row>
    <row r="269" spans="1:7" x14ac:dyDescent="0.25">
      <c r="A269" s="3">
        <v>43221</v>
      </c>
      <c r="B269" s="2" t="s">
        <v>44</v>
      </c>
      <c r="C269" s="2" t="s">
        <v>86</v>
      </c>
      <c r="D269" s="46">
        <v>0.02</v>
      </c>
      <c r="E269" s="44">
        <v>1330.5696</v>
      </c>
      <c r="F269" s="45">
        <v>9.18</v>
      </c>
      <c r="G269" s="44">
        <v>144.94222222222223</v>
      </c>
    </row>
    <row r="270" spans="1:7" x14ac:dyDescent="0.25">
      <c r="A270" s="3">
        <v>43221</v>
      </c>
      <c r="B270" s="2" t="s">
        <v>45</v>
      </c>
      <c r="C270" s="2" t="s">
        <v>84</v>
      </c>
      <c r="D270" s="46">
        <v>0.05</v>
      </c>
      <c r="E270" s="44">
        <v>13166.601000000001</v>
      </c>
      <c r="F270" s="45">
        <v>73.5</v>
      </c>
      <c r="G270" s="44">
        <v>179.13742857142859</v>
      </c>
    </row>
    <row r="271" spans="1:7" x14ac:dyDescent="0.25">
      <c r="A271" s="3">
        <v>43221</v>
      </c>
      <c r="B271" s="2" t="s">
        <v>26</v>
      </c>
      <c r="C271" s="2" t="s">
        <v>84</v>
      </c>
      <c r="D271" s="46">
        <v>0.05</v>
      </c>
      <c r="E271" s="44">
        <v>2600.8290000000002</v>
      </c>
      <c r="F271" s="45">
        <v>23.1</v>
      </c>
      <c r="G271" s="44">
        <v>112.59</v>
      </c>
    </row>
    <row r="272" spans="1:7" x14ac:dyDescent="0.25">
      <c r="A272" s="3">
        <v>43221</v>
      </c>
      <c r="B272" s="2" t="s">
        <v>47</v>
      </c>
      <c r="C272" s="2" t="s">
        <v>84</v>
      </c>
      <c r="D272" s="46">
        <v>0.05</v>
      </c>
      <c r="E272" s="44">
        <v>10121.412</v>
      </c>
      <c r="F272" s="45">
        <v>21</v>
      </c>
      <c r="G272" s="44">
        <v>481.97200000000004</v>
      </c>
    </row>
    <row r="273" spans="1:7" x14ac:dyDescent="0.25">
      <c r="A273" s="3">
        <v>43221</v>
      </c>
      <c r="B273" s="2" t="s">
        <v>27</v>
      </c>
      <c r="C273" s="2" t="s">
        <v>86</v>
      </c>
      <c r="D273" s="46">
        <v>0.02</v>
      </c>
      <c r="E273" s="44">
        <v>8571.4986000000008</v>
      </c>
      <c r="F273" s="45">
        <v>57.120000000000005</v>
      </c>
      <c r="G273" s="44">
        <v>150.06125</v>
      </c>
    </row>
    <row r="274" spans="1:7" x14ac:dyDescent="0.25">
      <c r="A274" s="3">
        <v>43221</v>
      </c>
      <c r="B274" s="2" t="s">
        <v>28</v>
      </c>
      <c r="C274" s="2" t="s">
        <v>84</v>
      </c>
      <c r="D274" s="46">
        <v>0.05</v>
      </c>
      <c r="E274" s="44">
        <v>20981.163</v>
      </c>
      <c r="F274" s="45">
        <v>150.15</v>
      </c>
      <c r="G274" s="44">
        <v>139.73468531468532</v>
      </c>
    </row>
    <row r="275" spans="1:7" x14ac:dyDescent="0.25">
      <c r="A275" s="3">
        <v>43221</v>
      </c>
      <c r="B275" s="2" t="s">
        <v>29</v>
      </c>
      <c r="C275" s="2" t="s">
        <v>84</v>
      </c>
      <c r="D275" s="46">
        <v>0.05</v>
      </c>
      <c r="E275" s="44">
        <v>8558.5709999999999</v>
      </c>
      <c r="F275" s="45">
        <v>76.650000000000006</v>
      </c>
      <c r="G275" s="44">
        <v>111.65780821917808</v>
      </c>
    </row>
    <row r="276" spans="1:7" x14ac:dyDescent="0.25">
      <c r="A276" s="3">
        <v>43221</v>
      </c>
      <c r="B276" s="2" t="s">
        <v>64</v>
      </c>
      <c r="C276" s="2" t="s">
        <v>84</v>
      </c>
      <c r="D276" s="46">
        <v>0.05</v>
      </c>
      <c r="E276" s="44">
        <v>534.29250000000002</v>
      </c>
      <c r="F276" s="45">
        <v>4.2</v>
      </c>
      <c r="G276" s="44">
        <v>127.21250000000001</v>
      </c>
    </row>
    <row r="277" spans="1:7" x14ac:dyDescent="0.25">
      <c r="A277" s="3">
        <v>43221</v>
      </c>
      <c r="B277" s="2" t="s">
        <v>49</v>
      </c>
      <c r="C277" s="2" t="s">
        <v>84</v>
      </c>
      <c r="D277" s="46">
        <v>0.05</v>
      </c>
      <c r="E277" s="44">
        <v>5503.5119999999997</v>
      </c>
      <c r="F277" s="45">
        <v>18.900000000000002</v>
      </c>
      <c r="G277" s="44">
        <v>291.19111111111107</v>
      </c>
    </row>
    <row r="278" spans="1:7" x14ac:dyDescent="0.25">
      <c r="A278" s="3">
        <v>43221</v>
      </c>
      <c r="B278" s="2" t="s">
        <v>30</v>
      </c>
      <c r="C278" s="2" t="s">
        <v>84</v>
      </c>
      <c r="D278" s="46">
        <v>0.05</v>
      </c>
      <c r="E278" s="44">
        <v>35806.816500000008</v>
      </c>
      <c r="F278" s="45">
        <v>320.25</v>
      </c>
      <c r="G278" s="44">
        <v>111.80895081967216</v>
      </c>
    </row>
    <row r="279" spans="1:7" x14ac:dyDescent="0.25">
      <c r="A279" s="3">
        <v>43221</v>
      </c>
      <c r="B279" s="2" t="s">
        <v>50</v>
      </c>
      <c r="C279" s="2" t="s">
        <v>84</v>
      </c>
      <c r="D279" s="46">
        <v>0.05</v>
      </c>
      <c r="E279" s="44">
        <v>5880.1890000000003</v>
      </c>
      <c r="F279" s="45">
        <v>67.2</v>
      </c>
      <c r="G279" s="44">
        <v>87.502812500000005</v>
      </c>
    </row>
    <row r="280" spans="1:7" x14ac:dyDescent="0.25">
      <c r="A280" s="3">
        <v>43221</v>
      </c>
      <c r="B280" s="2" t="s">
        <v>59</v>
      </c>
      <c r="C280" s="2" t="s">
        <v>85</v>
      </c>
      <c r="D280" s="46">
        <v>0.1</v>
      </c>
      <c r="E280" s="44">
        <v>1666.4780000000001</v>
      </c>
      <c r="F280" s="45">
        <v>7.7000000000000011</v>
      </c>
      <c r="G280" s="44">
        <v>216.42571428571426</v>
      </c>
    </row>
    <row r="281" spans="1:7" x14ac:dyDescent="0.25">
      <c r="A281" s="3">
        <v>43221</v>
      </c>
      <c r="B281" s="2" t="s">
        <v>31</v>
      </c>
      <c r="C281" s="2" t="s">
        <v>84</v>
      </c>
      <c r="D281" s="46">
        <v>0.05</v>
      </c>
      <c r="E281" s="44">
        <v>9286.6095000000005</v>
      </c>
      <c r="F281" s="45">
        <v>224.70000000000002</v>
      </c>
      <c r="G281" s="44">
        <v>41.32892523364486</v>
      </c>
    </row>
    <row r="282" spans="1:7" x14ac:dyDescent="0.25">
      <c r="A282" s="3">
        <v>43221</v>
      </c>
      <c r="B282" s="2" t="s">
        <v>32</v>
      </c>
      <c r="C282" s="2" t="s">
        <v>84</v>
      </c>
      <c r="D282" s="46">
        <v>0.05</v>
      </c>
      <c r="E282" s="44">
        <v>23288.212500000001</v>
      </c>
      <c r="F282" s="45">
        <v>205.8</v>
      </c>
      <c r="G282" s="44">
        <v>113.15943877551021</v>
      </c>
    </row>
    <row r="283" spans="1:7" x14ac:dyDescent="0.25">
      <c r="A283" s="3">
        <v>43221</v>
      </c>
      <c r="B283" s="2" t="s">
        <v>33</v>
      </c>
      <c r="C283" s="2" t="s">
        <v>84</v>
      </c>
      <c r="D283" s="46">
        <v>0.05</v>
      </c>
      <c r="E283" s="44">
        <v>11359.257000000001</v>
      </c>
      <c r="F283" s="45">
        <v>95.55</v>
      </c>
      <c r="G283" s="44">
        <v>118.88285714285716</v>
      </c>
    </row>
    <row r="284" spans="1:7" x14ac:dyDescent="0.25">
      <c r="A284" s="3">
        <v>43221</v>
      </c>
      <c r="B284" s="2" t="s">
        <v>34</v>
      </c>
      <c r="C284" s="2" t="s">
        <v>84</v>
      </c>
      <c r="D284" s="46">
        <v>0.05</v>
      </c>
      <c r="E284" s="44">
        <v>38450.454000000005</v>
      </c>
      <c r="F284" s="45">
        <v>135.45000000000002</v>
      </c>
      <c r="G284" s="44">
        <v>283.87193798449613</v>
      </c>
    </row>
    <row r="285" spans="1:7" x14ac:dyDescent="0.25">
      <c r="A285" s="3">
        <v>43252</v>
      </c>
      <c r="B285" s="2" t="s">
        <v>35</v>
      </c>
      <c r="C285" s="2" t="s">
        <v>84</v>
      </c>
      <c r="D285" s="46">
        <v>0.05</v>
      </c>
      <c r="E285" s="44">
        <v>1459.5</v>
      </c>
      <c r="F285" s="45">
        <v>1.05</v>
      </c>
      <c r="G285" s="44">
        <v>1390</v>
      </c>
    </row>
    <row r="286" spans="1:7" x14ac:dyDescent="0.25">
      <c r="A286" s="3">
        <v>43252</v>
      </c>
      <c r="B286" s="2" t="s">
        <v>6</v>
      </c>
      <c r="C286" s="2" t="s">
        <v>84</v>
      </c>
      <c r="D286" s="46">
        <v>0.05</v>
      </c>
      <c r="E286" s="44">
        <v>2188.7040000000002</v>
      </c>
      <c r="F286" s="45">
        <v>11.55</v>
      </c>
      <c r="G286" s="44">
        <v>189.49818181818182</v>
      </c>
    </row>
    <row r="287" spans="1:7" x14ac:dyDescent="0.25">
      <c r="A287" s="3">
        <v>43252</v>
      </c>
      <c r="B287" s="2" t="s">
        <v>60</v>
      </c>
      <c r="C287" s="2" t="s">
        <v>84</v>
      </c>
      <c r="D287" s="46">
        <v>0.05</v>
      </c>
      <c r="E287" s="44">
        <v>210.31500000000003</v>
      </c>
      <c r="F287" s="45">
        <v>4.2</v>
      </c>
      <c r="G287" s="44">
        <v>50.075000000000003</v>
      </c>
    </row>
    <row r="288" spans="1:7" x14ac:dyDescent="0.25">
      <c r="A288" s="3">
        <v>43252</v>
      </c>
      <c r="B288" s="2" t="s">
        <v>7</v>
      </c>
      <c r="C288" s="2" t="s">
        <v>85</v>
      </c>
      <c r="D288" s="46">
        <v>0.1</v>
      </c>
      <c r="E288" s="44">
        <v>1838.1000000000001</v>
      </c>
      <c r="F288" s="45">
        <v>12.100000000000001</v>
      </c>
      <c r="G288" s="44">
        <v>151.90909090909091</v>
      </c>
    </row>
    <row r="289" spans="1:7" x14ac:dyDescent="0.25">
      <c r="A289" s="3">
        <v>43252</v>
      </c>
      <c r="B289" s="2" t="s">
        <v>8</v>
      </c>
      <c r="C289" s="2" t="s">
        <v>84</v>
      </c>
      <c r="D289" s="46">
        <v>0.05</v>
      </c>
      <c r="E289" s="44">
        <v>30802.495500000001</v>
      </c>
      <c r="F289" s="45">
        <v>115.5</v>
      </c>
      <c r="G289" s="44">
        <v>266.68827272727276</v>
      </c>
    </row>
    <row r="290" spans="1:7" x14ac:dyDescent="0.25">
      <c r="A290" s="3">
        <v>43252</v>
      </c>
      <c r="B290" s="2" t="s">
        <v>9</v>
      </c>
      <c r="C290" s="2" t="s">
        <v>84</v>
      </c>
      <c r="D290" s="46">
        <v>0.05</v>
      </c>
      <c r="E290" s="44">
        <v>8257.9770000000008</v>
      </c>
      <c r="F290" s="45">
        <v>81.900000000000006</v>
      </c>
      <c r="G290" s="44">
        <v>100.83</v>
      </c>
    </row>
    <row r="291" spans="1:7" x14ac:dyDescent="0.25">
      <c r="A291" s="3">
        <v>43252</v>
      </c>
      <c r="B291" s="2" t="s">
        <v>10</v>
      </c>
      <c r="C291" s="2" t="s">
        <v>86</v>
      </c>
      <c r="D291" s="46">
        <v>0.02</v>
      </c>
      <c r="E291" s="44">
        <v>34479.294600000001</v>
      </c>
      <c r="F291" s="45">
        <v>376.38</v>
      </c>
      <c r="G291" s="44">
        <v>91.607669376693778</v>
      </c>
    </row>
    <row r="292" spans="1:7" x14ac:dyDescent="0.25">
      <c r="A292" s="3">
        <v>43252</v>
      </c>
      <c r="B292" s="2" t="s">
        <v>36</v>
      </c>
      <c r="C292" s="2" t="s">
        <v>84</v>
      </c>
      <c r="D292" s="46">
        <v>0.05</v>
      </c>
      <c r="E292" s="44">
        <v>2018.2890000000002</v>
      </c>
      <c r="F292" s="45">
        <v>21</v>
      </c>
      <c r="G292" s="44">
        <v>96.109000000000009</v>
      </c>
    </row>
    <row r="293" spans="1:7" x14ac:dyDescent="0.25">
      <c r="A293" s="3">
        <v>43252</v>
      </c>
      <c r="B293" s="2" t="s">
        <v>65</v>
      </c>
      <c r="C293" s="2" t="s">
        <v>84</v>
      </c>
      <c r="D293" s="46">
        <v>0.05</v>
      </c>
      <c r="E293" s="44">
        <v>103.95</v>
      </c>
      <c r="F293" s="45">
        <v>2.1</v>
      </c>
      <c r="G293" s="44">
        <v>49.5</v>
      </c>
    </row>
    <row r="294" spans="1:7" x14ac:dyDescent="0.25">
      <c r="A294" s="3">
        <v>43252</v>
      </c>
      <c r="B294" s="2" t="s">
        <v>51</v>
      </c>
      <c r="C294" s="2" t="s">
        <v>84</v>
      </c>
      <c r="D294" s="46">
        <v>0.05</v>
      </c>
      <c r="E294" s="44">
        <v>153.19500000000002</v>
      </c>
      <c r="F294" s="45">
        <v>2.1</v>
      </c>
      <c r="G294" s="44">
        <v>72.95</v>
      </c>
    </row>
    <row r="295" spans="1:7" x14ac:dyDescent="0.25">
      <c r="A295" s="3">
        <v>43252</v>
      </c>
      <c r="B295" s="2" t="s">
        <v>66</v>
      </c>
      <c r="C295" s="2" t="s">
        <v>84</v>
      </c>
      <c r="D295" s="46">
        <v>0.05</v>
      </c>
      <c r="E295" s="44">
        <v>193.935</v>
      </c>
      <c r="F295" s="45">
        <v>3.1500000000000004</v>
      </c>
      <c r="G295" s="44">
        <v>61.566666666666663</v>
      </c>
    </row>
    <row r="296" spans="1:7" x14ac:dyDescent="0.25">
      <c r="A296" s="3">
        <v>43252</v>
      </c>
      <c r="B296" s="2" t="s">
        <v>52</v>
      </c>
      <c r="C296" s="2" t="s">
        <v>84</v>
      </c>
      <c r="D296" s="46">
        <v>0.05</v>
      </c>
      <c r="E296" s="44">
        <v>82.95</v>
      </c>
      <c r="F296" s="45">
        <v>1.05</v>
      </c>
      <c r="G296" s="44">
        <v>79</v>
      </c>
    </row>
    <row r="297" spans="1:7" x14ac:dyDescent="0.25">
      <c r="A297" s="3">
        <v>43252</v>
      </c>
      <c r="B297" s="2" t="s">
        <v>11</v>
      </c>
      <c r="C297" s="2" t="s">
        <v>85</v>
      </c>
      <c r="D297" s="46">
        <v>0.1</v>
      </c>
      <c r="E297" s="44">
        <v>39813.07</v>
      </c>
      <c r="F297" s="45">
        <v>279.40000000000003</v>
      </c>
      <c r="G297" s="44">
        <v>142.49488188976378</v>
      </c>
    </row>
    <row r="298" spans="1:7" x14ac:dyDescent="0.25">
      <c r="A298" s="3">
        <v>43252</v>
      </c>
      <c r="B298" s="2" t="s">
        <v>12</v>
      </c>
      <c r="C298" s="2" t="s">
        <v>85</v>
      </c>
      <c r="D298" s="46">
        <v>0.1</v>
      </c>
      <c r="E298" s="44">
        <v>5839.933</v>
      </c>
      <c r="F298" s="45">
        <v>31.900000000000002</v>
      </c>
      <c r="G298" s="44">
        <v>183.07</v>
      </c>
    </row>
    <row r="299" spans="1:7" x14ac:dyDescent="0.25">
      <c r="A299" s="3">
        <v>43252</v>
      </c>
      <c r="B299" s="2" t="s">
        <v>53</v>
      </c>
      <c r="C299" s="2" t="s">
        <v>86</v>
      </c>
      <c r="D299" s="46">
        <v>0.02</v>
      </c>
      <c r="E299" s="44">
        <v>383.8974</v>
      </c>
      <c r="F299" s="45">
        <v>8.16</v>
      </c>
      <c r="G299" s="44">
        <v>47.046250000000001</v>
      </c>
    </row>
    <row r="300" spans="1:7" x14ac:dyDescent="0.25">
      <c r="A300" s="3">
        <v>43252</v>
      </c>
      <c r="B300" s="2" t="s">
        <v>13</v>
      </c>
      <c r="C300" s="2" t="s">
        <v>84</v>
      </c>
      <c r="D300" s="46">
        <v>0.05</v>
      </c>
      <c r="E300" s="44">
        <v>40015.090500000006</v>
      </c>
      <c r="F300" s="45">
        <v>208.95000000000002</v>
      </c>
      <c r="G300" s="44">
        <v>191.50557788944724</v>
      </c>
    </row>
    <row r="301" spans="1:7" x14ac:dyDescent="0.25">
      <c r="A301" s="3">
        <v>43252</v>
      </c>
      <c r="B301" s="2" t="s">
        <v>55</v>
      </c>
      <c r="C301" s="2" t="s">
        <v>86</v>
      </c>
      <c r="D301" s="46">
        <v>0.02</v>
      </c>
      <c r="E301" s="44">
        <v>443.38380000000001</v>
      </c>
      <c r="F301" s="45">
        <v>4.08</v>
      </c>
      <c r="G301" s="44">
        <v>108.6725</v>
      </c>
    </row>
    <row r="302" spans="1:7" x14ac:dyDescent="0.25">
      <c r="A302" s="3">
        <v>43252</v>
      </c>
      <c r="B302" s="2" t="s">
        <v>61</v>
      </c>
      <c r="C302" s="2" t="s">
        <v>84</v>
      </c>
      <c r="D302" s="46">
        <v>0.05</v>
      </c>
      <c r="E302" s="44">
        <v>52.489500000000007</v>
      </c>
      <c r="F302" s="45">
        <v>1.05</v>
      </c>
      <c r="G302" s="44">
        <v>49.99</v>
      </c>
    </row>
    <row r="303" spans="1:7" x14ac:dyDescent="0.25">
      <c r="A303" s="3">
        <v>43252</v>
      </c>
      <c r="B303" s="2" t="s">
        <v>38</v>
      </c>
      <c r="C303" s="2" t="s">
        <v>84</v>
      </c>
      <c r="D303" s="46">
        <v>0.05</v>
      </c>
      <c r="E303" s="44">
        <v>133.02449999999999</v>
      </c>
      <c r="F303" s="45">
        <v>4.2</v>
      </c>
      <c r="G303" s="44">
        <v>31.672499999999996</v>
      </c>
    </row>
    <row r="304" spans="1:7" x14ac:dyDescent="0.25">
      <c r="A304" s="3">
        <v>43252</v>
      </c>
      <c r="B304" s="2" t="s">
        <v>15</v>
      </c>
      <c r="C304" s="2" t="s">
        <v>85</v>
      </c>
      <c r="D304" s="46">
        <v>0.1</v>
      </c>
      <c r="E304" s="44">
        <v>2266.0440000000003</v>
      </c>
      <c r="F304" s="45">
        <v>45.1</v>
      </c>
      <c r="G304" s="44">
        <v>50.244878048780492</v>
      </c>
    </row>
    <row r="305" spans="1:7" x14ac:dyDescent="0.25">
      <c r="A305" s="3">
        <v>43252</v>
      </c>
      <c r="B305" s="2" t="s">
        <v>17</v>
      </c>
      <c r="C305" s="2" t="s">
        <v>84</v>
      </c>
      <c r="D305" s="46">
        <v>0.05</v>
      </c>
      <c r="E305" s="44">
        <v>7058.2365</v>
      </c>
      <c r="F305" s="45">
        <v>85.05</v>
      </c>
      <c r="G305" s="44">
        <v>82.989259259259256</v>
      </c>
    </row>
    <row r="306" spans="1:7" x14ac:dyDescent="0.25">
      <c r="A306" s="3">
        <v>43252</v>
      </c>
      <c r="B306" s="2" t="s">
        <v>72</v>
      </c>
      <c r="C306" s="2" t="s">
        <v>84</v>
      </c>
      <c r="D306" s="46">
        <v>0.05</v>
      </c>
      <c r="E306" s="44">
        <v>115.5</v>
      </c>
      <c r="F306" s="45">
        <v>1.05</v>
      </c>
      <c r="G306" s="44">
        <v>110</v>
      </c>
    </row>
    <row r="307" spans="1:7" x14ac:dyDescent="0.25">
      <c r="A307" s="3">
        <v>43252</v>
      </c>
      <c r="B307" s="2" t="s">
        <v>18</v>
      </c>
      <c r="C307" s="2" t="s">
        <v>84</v>
      </c>
      <c r="D307" s="46">
        <v>0.05</v>
      </c>
      <c r="E307" s="44">
        <v>545.77949999999998</v>
      </c>
      <c r="F307" s="45">
        <v>9.4500000000000011</v>
      </c>
      <c r="G307" s="44">
        <v>57.754444444444438</v>
      </c>
    </row>
    <row r="308" spans="1:7" x14ac:dyDescent="0.25">
      <c r="A308" s="3">
        <v>43252</v>
      </c>
      <c r="B308" s="2" t="s">
        <v>19</v>
      </c>
      <c r="C308" s="2" t="s">
        <v>84</v>
      </c>
      <c r="D308" s="46">
        <v>0.05</v>
      </c>
      <c r="E308" s="44">
        <v>1343.3490000000002</v>
      </c>
      <c r="F308" s="45">
        <v>19.95</v>
      </c>
      <c r="G308" s="44">
        <v>67.335789473684216</v>
      </c>
    </row>
    <row r="309" spans="1:7" x14ac:dyDescent="0.25">
      <c r="A309" s="3">
        <v>43252</v>
      </c>
      <c r="B309" s="2" t="s">
        <v>39</v>
      </c>
      <c r="C309" s="2" t="s">
        <v>84</v>
      </c>
      <c r="D309" s="46">
        <v>0.05</v>
      </c>
      <c r="E309" s="44">
        <v>4.0949999999999998</v>
      </c>
      <c r="F309" s="45">
        <v>1.05</v>
      </c>
      <c r="G309" s="44">
        <v>3.8999999999999995</v>
      </c>
    </row>
    <row r="310" spans="1:7" x14ac:dyDescent="0.25">
      <c r="A310" s="3">
        <v>43252</v>
      </c>
      <c r="B310" s="2" t="s">
        <v>20</v>
      </c>
      <c r="C310" s="2" t="s">
        <v>84</v>
      </c>
      <c r="D310" s="46">
        <v>0.05</v>
      </c>
      <c r="E310" s="44">
        <v>980.35350000000005</v>
      </c>
      <c r="F310" s="45">
        <v>12.600000000000001</v>
      </c>
      <c r="G310" s="44">
        <v>77.805833333333325</v>
      </c>
    </row>
    <row r="311" spans="1:7" x14ac:dyDescent="0.25">
      <c r="A311" s="3">
        <v>43252</v>
      </c>
      <c r="B311" s="2" t="s">
        <v>21</v>
      </c>
      <c r="C311" s="2" t="s">
        <v>84</v>
      </c>
      <c r="D311" s="46">
        <v>0.05</v>
      </c>
      <c r="E311" s="44">
        <v>157.39500000000001</v>
      </c>
      <c r="F311" s="45">
        <v>1.05</v>
      </c>
      <c r="G311" s="44">
        <v>149.9</v>
      </c>
    </row>
    <row r="312" spans="1:7" x14ac:dyDescent="0.25">
      <c r="A312" s="3">
        <v>43252</v>
      </c>
      <c r="B312" s="2" t="s">
        <v>63</v>
      </c>
      <c r="C312" s="2" t="s">
        <v>84</v>
      </c>
      <c r="D312" s="46">
        <v>0.05</v>
      </c>
      <c r="E312" s="44">
        <v>60.27</v>
      </c>
      <c r="F312" s="45">
        <v>2.1</v>
      </c>
      <c r="G312" s="44">
        <v>28.7</v>
      </c>
    </row>
    <row r="313" spans="1:7" x14ac:dyDescent="0.25">
      <c r="A313" s="3">
        <v>43252</v>
      </c>
      <c r="B313" s="2" t="s">
        <v>40</v>
      </c>
      <c r="C313" s="2" t="s">
        <v>86</v>
      </c>
      <c r="D313" s="46">
        <v>0.02</v>
      </c>
      <c r="E313" s="44">
        <v>315.16980000000001</v>
      </c>
      <c r="F313" s="45">
        <v>2.04</v>
      </c>
      <c r="G313" s="44">
        <v>154.495</v>
      </c>
    </row>
    <row r="314" spans="1:7" x14ac:dyDescent="0.25">
      <c r="A314" s="3">
        <v>43252</v>
      </c>
      <c r="B314" s="2" t="s">
        <v>22</v>
      </c>
      <c r="C314" s="2" t="s">
        <v>86</v>
      </c>
      <c r="D314" s="46">
        <v>0.02</v>
      </c>
      <c r="E314" s="44">
        <v>16946.575800000002</v>
      </c>
      <c r="F314" s="45">
        <v>234.6</v>
      </c>
      <c r="G314" s="44">
        <v>72.236043478260882</v>
      </c>
    </row>
    <row r="315" spans="1:7" x14ac:dyDescent="0.25">
      <c r="A315" s="3">
        <v>43252</v>
      </c>
      <c r="B315" s="2" t="s">
        <v>41</v>
      </c>
      <c r="C315" s="2" t="s">
        <v>86</v>
      </c>
      <c r="D315" s="46">
        <v>0.02</v>
      </c>
      <c r="E315" s="44">
        <v>1747.566</v>
      </c>
      <c r="F315" s="45">
        <v>15.3</v>
      </c>
      <c r="G315" s="44">
        <v>114.22</v>
      </c>
    </row>
    <row r="316" spans="1:7" x14ac:dyDescent="0.25">
      <c r="A316" s="3">
        <v>43252</v>
      </c>
      <c r="B316" s="2" t="s">
        <v>23</v>
      </c>
      <c r="C316" s="2" t="s">
        <v>86</v>
      </c>
      <c r="D316" s="46">
        <v>0.02</v>
      </c>
      <c r="E316" s="44">
        <v>15756.031800000001</v>
      </c>
      <c r="F316" s="45">
        <v>112.2</v>
      </c>
      <c r="G316" s="44">
        <v>140.42809090909091</v>
      </c>
    </row>
    <row r="317" spans="1:7" x14ac:dyDescent="0.25">
      <c r="A317" s="3">
        <v>43252</v>
      </c>
      <c r="B317" s="2" t="s">
        <v>5</v>
      </c>
      <c r="C317" s="2" t="s">
        <v>84</v>
      </c>
      <c r="D317" s="46">
        <v>0.05</v>
      </c>
      <c r="E317" s="44">
        <v>33260.650500000003</v>
      </c>
      <c r="F317" s="45">
        <v>266.7</v>
      </c>
      <c r="G317" s="44">
        <v>124.7118503937008</v>
      </c>
    </row>
    <row r="318" spans="1:7" x14ac:dyDescent="0.25">
      <c r="A318" s="3">
        <v>43252</v>
      </c>
      <c r="B318" s="2" t="s">
        <v>56</v>
      </c>
      <c r="C318" s="2" t="s">
        <v>86</v>
      </c>
      <c r="D318" s="46">
        <v>0.02</v>
      </c>
      <c r="E318" s="44">
        <v>2557.3337999999999</v>
      </c>
      <c r="F318" s="45">
        <v>43.86</v>
      </c>
      <c r="G318" s="44">
        <v>58.306744186046508</v>
      </c>
    </row>
    <row r="319" spans="1:7" x14ac:dyDescent="0.25">
      <c r="A319" s="3">
        <v>43252</v>
      </c>
      <c r="B319" s="2" t="s">
        <v>42</v>
      </c>
      <c r="C319" s="2" t="s">
        <v>86</v>
      </c>
      <c r="D319" s="46">
        <v>0.02</v>
      </c>
      <c r="E319" s="44">
        <v>1238.1473999999998</v>
      </c>
      <c r="F319" s="45">
        <v>6.12</v>
      </c>
      <c r="G319" s="44">
        <v>202.31166666666664</v>
      </c>
    </row>
    <row r="320" spans="1:7" x14ac:dyDescent="0.25">
      <c r="A320" s="3">
        <v>43252</v>
      </c>
      <c r="B320" s="2" t="s">
        <v>43</v>
      </c>
      <c r="C320" s="2" t="s">
        <v>86</v>
      </c>
      <c r="D320" s="46">
        <v>0.02</v>
      </c>
      <c r="E320" s="44">
        <v>13.158000000000001</v>
      </c>
      <c r="F320" s="45">
        <v>1.02</v>
      </c>
      <c r="G320" s="44">
        <v>12.9</v>
      </c>
    </row>
    <row r="321" spans="1:7" x14ac:dyDescent="0.25">
      <c r="A321" s="3">
        <v>43252</v>
      </c>
      <c r="B321" s="2" t="s">
        <v>57</v>
      </c>
      <c r="C321" s="2" t="s">
        <v>86</v>
      </c>
      <c r="D321" s="46">
        <v>0.02</v>
      </c>
      <c r="E321" s="44">
        <v>2874.5639999999999</v>
      </c>
      <c r="F321" s="45">
        <v>17.34</v>
      </c>
      <c r="G321" s="44">
        <v>165.7764705882353</v>
      </c>
    </row>
    <row r="322" spans="1:7" x14ac:dyDescent="0.25">
      <c r="A322" s="3">
        <v>43252</v>
      </c>
      <c r="B322" s="2" t="s">
        <v>58</v>
      </c>
      <c r="C322" s="2" t="s">
        <v>86</v>
      </c>
      <c r="D322" s="46">
        <v>0.02</v>
      </c>
      <c r="E322" s="44">
        <v>2032.146</v>
      </c>
      <c r="F322" s="45">
        <v>8.16</v>
      </c>
      <c r="G322" s="44">
        <v>249.03749999999999</v>
      </c>
    </row>
    <row r="323" spans="1:7" x14ac:dyDescent="0.25">
      <c r="A323" s="3">
        <v>43252</v>
      </c>
      <c r="B323" s="2" t="s">
        <v>24</v>
      </c>
      <c r="C323" s="2" t="s">
        <v>86</v>
      </c>
      <c r="D323" s="46">
        <v>0.02</v>
      </c>
      <c r="E323" s="44">
        <v>23437.7742</v>
      </c>
      <c r="F323" s="45">
        <v>327.42</v>
      </c>
      <c r="G323" s="44">
        <v>71.583208722741432</v>
      </c>
    </row>
    <row r="324" spans="1:7" x14ac:dyDescent="0.25">
      <c r="A324" s="3">
        <v>43252</v>
      </c>
      <c r="B324" s="2" t="s">
        <v>25</v>
      </c>
      <c r="C324" s="2" t="s">
        <v>84</v>
      </c>
      <c r="D324" s="46">
        <v>0.05</v>
      </c>
      <c r="E324" s="44">
        <v>290.81850000000003</v>
      </c>
      <c r="F324" s="45">
        <v>2.1</v>
      </c>
      <c r="G324" s="44">
        <v>138.48500000000001</v>
      </c>
    </row>
    <row r="325" spans="1:7" x14ac:dyDescent="0.25">
      <c r="A325" s="3">
        <v>43252</v>
      </c>
      <c r="B325" s="2" t="s">
        <v>44</v>
      </c>
      <c r="C325" s="2" t="s">
        <v>86</v>
      </c>
      <c r="D325" s="46">
        <v>0.02</v>
      </c>
      <c r="E325" s="44">
        <v>382.29599999999999</v>
      </c>
      <c r="F325" s="45">
        <v>4.08</v>
      </c>
      <c r="G325" s="44">
        <v>93.7</v>
      </c>
    </row>
    <row r="326" spans="1:7" x14ac:dyDescent="0.25">
      <c r="A326" s="3">
        <v>43252</v>
      </c>
      <c r="B326" s="2" t="s">
        <v>45</v>
      </c>
      <c r="C326" s="2" t="s">
        <v>84</v>
      </c>
      <c r="D326" s="46">
        <v>0.05</v>
      </c>
      <c r="E326" s="44">
        <v>8549.2994999999992</v>
      </c>
      <c r="F326" s="45">
        <v>63</v>
      </c>
      <c r="G326" s="44">
        <v>135.70316666666665</v>
      </c>
    </row>
    <row r="327" spans="1:7" x14ac:dyDescent="0.25">
      <c r="A327" s="3">
        <v>43252</v>
      </c>
      <c r="B327" s="2" t="s">
        <v>26</v>
      </c>
      <c r="C327" s="2" t="s">
        <v>84</v>
      </c>
      <c r="D327" s="46">
        <v>0.05</v>
      </c>
      <c r="E327" s="44">
        <v>1321.8975</v>
      </c>
      <c r="F327" s="45">
        <v>16.8</v>
      </c>
      <c r="G327" s="44">
        <v>78.684375000000003</v>
      </c>
    </row>
    <row r="328" spans="1:7" x14ac:dyDescent="0.25">
      <c r="A328" s="3">
        <v>43252</v>
      </c>
      <c r="B328" s="2" t="s">
        <v>46</v>
      </c>
      <c r="C328" s="2" t="s">
        <v>84</v>
      </c>
      <c r="D328" s="46">
        <v>0.05</v>
      </c>
      <c r="E328" s="44">
        <v>1120.2450000000001</v>
      </c>
      <c r="F328" s="45">
        <v>4.2</v>
      </c>
      <c r="G328" s="44">
        <v>266.72500000000002</v>
      </c>
    </row>
    <row r="329" spans="1:7" x14ac:dyDescent="0.25">
      <c r="A329" s="3">
        <v>43252</v>
      </c>
      <c r="B329" s="2" t="s">
        <v>47</v>
      </c>
      <c r="C329" s="2" t="s">
        <v>84</v>
      </c>
      <c r="D329" s="46">
        <v>0.05</v>
      </c>
      <c r="E329" s="44">
        <v>5242.7025000000003</v>
      </c>
      <c r="F329" s="45">
        <v>21</v>
      </c>
      <c r="G329" s="44">
        <v>249.6525</v>
      </c>
    </row>
    <row r="330" spans="1:7" x14ac:dyDescent="0.25">
      <c r="A330" s="3">
        <v>43252</v>
      </c>
      <c r="B330" s="2" t="s">
        <v>27</v>
      </c>
      <c r="C330" s="2" t="s">
        <v>86</v>
      </c>
      <c r="D330" s="46">
        <v>0.02</v>
      </c>
      <c r="E330" s="44">
        <v>7424.7125999999998</v>
      </c>
      <c r="F330" s="45">
        <v>51</v>
      </c>
      <c r="G330" s="44">
        <v>145.58259999999999</v>
      </c>
    </row>
    <row r="331" spans="1:7" x14ac:dyDescent="0.25">
      <c r="A331" s="3">
        <v>43252</v>
      </c>
      <c r="B331" s="2" t="s">
        <v>28</v>
      </c>
      <c r="C331" s="2" t="s">
        <v>84</v>
      </c>
      <c r="D331" s="46">
        <v>0.05</v>
      </c>
      <c r="E331" s="44">
        <v>25152.036</v>
      </c>
      <c r="F331" s="45">
        <v>155.4</v>
      </c>
      <c r="G331" s="44">
        <v>161.85351351351352</v>
      </c>
    </row>
    <row r="332" spans="1:7" x14ac:dyDescent="0.25">
      <c r="A332" s="3">
        <v>43252</v>
      </c>
      <c r="B332" s="2" t="s">
        <v>29</v>
      </c>
      <c r="C332" s="2" t="s">
        <v>84</v>
      </c>
      <c r="D332" s="46">
        <v>0.05</v>
      </c>
      <c r="E332" s="44">
        <v>5379.7484999999997</v>
      </c>
      <c r="F332" s="45">
        <v>66.150000000000006</v>
      </c>
      <c r="G332" s="44">
        <v>81.326507936507923</v>
      </c>
    </row>
    <row r="333" spans="1:7" x14ac:dyDescent="0.25">
      <c r="A333" s="3">
        <v>43252</v>
      </c>
      <c r="B333" s="2" t="s">
        <v>64</v>
      </c>
      <c r="C333" s="2" t="s">
        <v>84</v>
      </c>
      <c r="D333" s="46">
        <v>0.05</v>
      </c>
      <c r="E333" s="44">
        <v>140.70000000000002</v>
      </c>
      <c r="F333" s="45">
        <v>1.05</v>
      </c>
      <c r="G333" s="44">
        <v>134</v>
      </c>
    </row>
    <row r="334" spans="1:7" x14ac:dyDescent="0.25">
      <c r="A334" s="3">
        <v>43252</v>
      </c>
      <c r="B334" s="2" t="s">
        <v>49</v>
      </c>
      <c r="C334" s="2" t="s">
        <v>84</v>
      </c>
      <c r="D334" s="46">
        <v>0.05</v>
      </c>
      <c r="E334" s="44">
        <v>10183.7505</v>
      </c>
      <c r="F334" s="45">
        <v>24.150000000000002</v>
      </c>
      <c r="G334" s="44">
        <v>421.68739130434778</v>
      </c>
    </row>
    <row r="335" spans="1:7" x14ac:dyDescent="0.25">
      <c r="A335" s="3">
        <v>43252</v>
      </c>
      <c r="B335" s="2" t="s">
        <v>73</v>
      </c>
      <c r="C335" s="2" t="s">
        <v>86</v>
      </c>
      <c r="D335" s="46">
        <v>0.02</v>
      </c>
      <c r="E335" s="44">
        <v>73.338000000000008</v>
      </c>
      <c r="F335" s="45">
        <v>1.02</v>
      </c>
      <c r="G335" s="44">
        <v>71.900000000000006</v>
      </c>
    </row>
    <row r="336" spans="1:7" x14ac:dyDescent="0.25">
      <c r="A336" s="3">
        <v>43252</v>
      </c>
      <c r="B336" s="2" t="s">
        <v>30</v>
      </c>
      <c r="C336" s="2" t="s">
        <v>84</v>
      </c>
      <c r="D336" s="46">
        <v>0.05</v>
      </c>
      <c r="E336" s="44">
        <v>33670.2765</v>
      </c>
      <c r="F336" s="45">
        <v>282.45</v>
      </c>
      <c r="G336" s="44">
        <v>119.20791821561339</v>
      </c>
    </row>
    <row r="337" spans="1:7" x14ac:dyDescent="0.25">
      <c r="A337" s="3">
        <v>43252</v>
      </c>
      <c r="B337" s="2" t="s">
        <v>50</v>
      </c>
      <c r="C337" s="2" t="s">
        <v>84</v>
      </c>
      <c r="D337" s="46">
        <v>0.05</v>
      </c>
      <c r="E337" s="44">
        <v>3668.2485000000001</v>
      </c>
      <c r="F337" s="45">
        <v>39.9</v>
      </c>
      <c r="G337" s="44">
        <v>91.93605263157896</v>
      </c>
    </row>
    <row r="338" spans="1:7" x14ac:dyDescent="0.25">
      <c r="A338" s="3">
        <v>43252</v>
      </c>
      <c r="B338" s="2" t="s">
        <v>59</v>
      </c>
      <c r="C338" s="2" t="s">
        <v>85</v>
      </c>
      <c r="D338" s="46">
        <v>0.1</v>
      </c>
      <c r="E338" s="44">
        <v>653.40000000000009</v>
      </c>
      <c r="F338" s="45">
        <v>6.6000000000000005</v>
      </c>
      <c r="G338" s="44">
        <v>99</v>
      </c>
    </row>
    <row r="339" spans="1:7" x14ac:dyDescent="0.25">
      <c r="A339" s="3">
        <v>43252</v>
      </c>
      <c r="B339" s="2" t="s">
        <v>31</v>
      </c>
      <c r="C339" s="2" t="s">
        <v>84</v>
      </c>
      <c r="D339" s="46">
        <v>0.05</v>
      </c>
      <c r="E339" s="44">
        <v>6889.8164999999999</v>
      </c>
      <c r="F339" s="45">
        <v>164.85</v>
      </c>
      <c r="G339" s="44">
        <v>41.794458598726116</v>
      </c>
    </row>
    <row r="340" spans="1:7" x14ac:dyDescent="0.25">
      <c r="A340" s="3">
        <v>43252</v>
      </c>
      <c r="B340" s="2" t="s">
        <v>32</v>
      </c>
      <c r="C340" s="2" t="s">
        <v>84</v>
      </c>
      <c r="D340" s="46">
        <v>0.05</v>
      </c>
      <c r="E340" s="44">
        <v>16104.4275</v>
      </c>
      <c r="F340" s="45">
        <v>163.80000000000001</v>
      </c>
      <c r="G340" s="44">
        <v>98.317628205128202</v>
      </c>
    </row>
    <row r="341" spans="1:7" x14ac:dyDescent="0.25">
      <c r="A341" s="3">
        <v>43252</v>
      </c>
      <c r="B341" s="2" t="s">
        <v>33</v>
      </c>
      <c r="C341" s="2" t="s">
        <v>84</v>
      </c>
      <c r="D341" s="46">
        <v>0.05</v>
      </c>
      <c r="E341" s="44">
        <v>5147.5199999999995</v>
      </c>
      <c r="F341" s="45">
        <v>60.900000000000006</v>
      </c>
      <c r="G341" s="44">
        <v>84.524137931034474</v>
      </c>
    </row>
    <row r="342" spans="1:7" x14ac:dyDescent="0.25">
      <c r="A342" s="3">
        <v>43252</v>
      </c>
      <c r="B342" s="2" t="s">
        <v>34</v>
      </c>
      <c r="C342" s="2" t="s">
        <v>84</v>
      </c>
      <c r="D342" s="46">
        <v>0.05</v>
      </c>
      <c r="E342" s="44">
        <v>28704.511500000001</v>
      </c>
      <c r="F342" s="45">
        <v>124.95</v>
      </c>
      <c r="G342" s="44">
        <v>229.72798319327731</v>
      </c>
    </row>
    <row r="343" spans="1:7" x14ac:dyDescent="0.25">
      <c r="A343" s="3">
        <v>43282</v>
      </c>
      <c r="B343" s="2" t="s">
        <v>35</v>
      </c>
      <c r="C343" s="2" t="s">
        <v>84</v>
      </c>
      <c r="D343" s="46">
        <v>0.05</v>
      </c>
      <c r="E343" s="44">
        <v>1239</v>
      </c>
      <c r="F343" s="45">
        <v>1.05</v>
      </c>
      <c r="G343" s="44">
        <v>1180</v>
      </c>
    </row>
    <row r="344" spans="1:7" x14ac:dyDescent="0.25">
      <c r="A344" s="3">
        <v>43282</v>
      </c>
      <c r="B344" s="2" t="s">
        <v>6</v>
      </c>
      <c r="C344" s="2" t="s">
        <v>84</v>
      </c>
      <c r="D344" s="46">
        <v>0.05</v>
      </c>
      <c r="E344" s="44">
        <v>1465.905</v>
      </c>
      <c r="F344" s="45">
        <v>5.25</v>
      </c>
      <c r="G344" s="44">
        <v>279.21999999999997</v>
      </c>
    </row>
    <row r="345" spans="1:7" x14ac:dyDescent="0.25">
      <c r="A345" s="3">
        <v>43282</v>
      </c>
      <c r="B345" s="2" t="s">
        <v>60</v>
      </c>
      <c r="C345" s="2" t="s">
        <v>84</v>
      </c>
      <c r="D345" s="46">
        <v>0.05</v>
      </c>
      <c r="E345" s="44">
        <v>406.08750000000003</v>
      </c>
      <c r="F345" s="45">
        <v>3.1500000000000004</v>
      </c>
      <c r="G345" s="44">
        <v>128.91666666666666</v>
      </c>
    </row>
    <row r="346" spans="1:7" x14ac:dyDescent="0.25">
      <c r="A346" s="3">
        <v>43282</v>
      </c>
      <c r="B346" s="2" t="s">
        <v>71</v>
      </c>
      <c r="C346" s="2" t="s">
        <v>84</v>
      </c>
      <c r="D346" s="46">
        <v>0.05</v>
      </c>
      <c r="E346" s="44">
        <v>136.39500000000001</v>
      </c>
      <c r="F346" s="45">
        <v>1.05</v>
      </c>
      <c r="G346" s="44">
        <v>129.9</v>
      </c>
    </row>
    <row r="347" spans="1:7" x14ac:dyDescent="0.25">
      <c r="A347" s="3">
        <v>43282</v>
      </c>
      <c r="B347" s="2" t="s">
        <v>7</v>
      </c>
      <c r="C347" s="2" t="s">
        <v>85</v>
      </c>
      <c r="D347" s="46">
        <v>0.1</v>
      </c>
      <c r="E347" s="44">
        <v>741.05900000000008</v>
      </c>
      <c r="F347" s="45">
        <v>6.6000000000000005</v>
      </c>
      <c r="G347" s="44">
        <v>112.28166666666667</v>
      </c>
    </row>
    <row r="348" spans="1:7" x14ac:dyDescent="0.25">
      <c r="A348" s="3">
        <v>43282</v>
      </c>
      <c r="B348" s="2" t="s">
        <v>8</v>
      </c>
      <c r="C348" s="2" t="s">
        <v>84</v>
      </c>
      <c r="D348" s="46">
        <v>0.05</v>
      </c>
      <c r="E348" s="44">
        <v>14581.192500000001</v>
      </c>
      <c r="F348" s="45">
        <v>119.7</v>
      </c>
      <c r="G348" s="44">
        <v>121.81447368421053</v>
      </c>
    </row>
    <row r="349" spans="1:7" x14ac:dyDescent="0.25">
      <c r="A349" s="3">
        <v>43282</v>
      </c>
      <c r="B349" s="2" t="s">
        <v>9</v>
      </c>
      <c r="C349" s="2" t="s">
        <v>84</v>
      </c>
      <c r="D349" s="46">
        <v>0.05</v>
      </c>
      <c r="E349" s="44">
        <v>16234.4805</v>
      </c>
      <c r="F349" s="45">
        <v>131.25</v>
      </c>
      <c r="G349" s="44">
        <v>123.69127999999999</v>
      </c>
    </row>
    <row r="350" spans="1:7" x14ac:dyDescent="0.25">
      <c r="A350" s="3">
        <v>43282</v>
      </c>
      <c r="B350" s="2" t="s">
        <v>10</v>
      </c>
      <c r="C350" s="2" t="s">
        <v>86</v>
      </c>
      <c r="D350" s="46">
        <v>0.02</v>
      </c>
      <c r="E350" s="44">
        <v>64042.699200000003</v>
      </c>
      <c r="F350" s="45">
        <v>580.38</v>
      </c>
      <c r="G350" s="44">
        <v>110.34615114235501</v>
      </c>
    </row>
    <row r="351" spans="1:7" x14ac:dyDescent="0.25">
      <c r="A351" s="3">
        <v>43282</v>
      </c>
      <c r="B351" s="2" t="s">
        <v>36</v>
      </c>
      <c r="C351" s="2" t="s">
        <v>84</v>
      </c>
      <c r="D351" s="46">
        <v>0.05</v>
      </c>
      <c r="E351" s="44">
        <v>1357.0200000000002</v>
      </c>
      <c r="F351" s="45">
        <v>13.65</v>
      </c>
      <c r="G351" s="44">
        <v>99.415384615384625</v>
      </c>
    </row>
    <row r="352" spans="1:7" x14ac:dyDescent="0.25">
      <c r="A352" s="3">
        <v>43282</v>
      </c>
      <c r="B352" s="2" t="s">
        <v>51</v>
      </c>
      <c r="C352" s="2" t="s">
        <v>84</v>
      </c>
      <c r="D352" s="46">
        <v>0.05</v>
      </c>
      <c r="E352" s="44">
        <v>554.4</v>
      </c>
      <c r="F352" s="45">
        <v>2.1</v>
      </c>
      <c r="G352" s="44">
        <v>264</v>
      </c>
    </row>
    <row r="353" spans="1:7" x14ac:dyDescent="0.25">
      <c r="A353" s="3">
        <v>43282</v>
      </c>
      <c r="B353" s="2" t="s">
        <v>66</v>
      </c>
      <c r="C353" s="2" t="s">
        <v>84</v>
      </c>
      <c r="D353" s="46">
        <v>0.05</v>
      </c>
      <c r="E353" s="44">
        <v>68.344500000000011</v>
      </c>
      <c r="F353" s="45">
        <v>2.1</v>
      </c>
      <c r="G353" s="44">
        <v>32.545000000000002</v>
      </c>
    </row>
    <row r="354" spans="1:7" x14ac:dyDescent="0.25">
      <c r="A354" s="3">
        <v>43282</v>
      </c>
      <c r="B354" s="2" t="s">
        <v>11</v>
      </c>
      <c r="C354" s="2" t="s">
        <v>85</v>
      </c>
      <c r="D354" s="46">
        <v>0.1</v>
      </c>
      <c r="E354" s="44">
        <v>41993.842000000004</v>
      </c>
      <c r="F354" s="45">
        <v>352</v>
      </c>
      <c r="G354" s="44">
        <v>119.30068750000001</v>
      </c>
    </row>
    <row r="355" spans="1:7" x14ac:dyDescent="0.25">
      <c r="A355" s="3">
        <v>43282</v>
      </c>
      <c r="B355" s="2" t="s">
        <v>12</v>
      </c>
      <c r="C355" s="2" t="s">
        <v>85</v>
      </c>
      <c r="D355" s="46">
        <v>0.1</v>
      </c>
      <c r="E355" s="44">
        <v>5952.3640000000005</v>
      </c>
      <c r="F355" s="45">
        <v>51.7</v>
      </c>
      <c r="G355" s="44">
        <v>115.13276595744681</v>
      </c>
    </row>
    <row r="356" spans="1:7" x14ac:dyDescent="0.25">
      <c r="A356" s="3">
        <v>43282</v>
      </c>
      <c r="B356" s="2" t="s">
        <v>53</v>
      </c>
      <c r="C356" s="2" t="s">
        <v>86</v>
      </c>
      <c r="D356" s="46">
        <v>0.02</v>
      </c>
      <c r="E356" s="44">
        <v>560.42880000000002</v>
      </c>
      <c r="F356" s="45">
        <v>6.12</v>
      </c>
      <c r="G356" s="44">
        <v>91.573333333333338</v>
      </c>
    </row>
    <row r="357" spans="1:7" x14ac:dyDescent="0.25">
      <c r="A357" s="3">
        <v>43282</v>
      </c>
      <c r="B357" s="2" t="s">
        <v>75</v>
      </c>
      <c r="C357" s="2" t="s">
        <v>86</v>
      </c>
      <c r="D357" s="46">
        <v>0.02</v>
      </c>
      <c r="E357" s="44">
        <v>367.2</v>
      </c>
      <c r="F357" s="45">
        <v>1.02</v>
      </c>
      <c r="G357" s="44">
        <v>360</v>
      </c>
    </row>
    <row r="358" spans="1:7" x14ac:dyDescent="0.25">
      <c r="A358" s="3">
        <v>43282</v>
      </c>
      <c r="B358" s="2" t="s">
        <v>13</v>
      </c>
      <c r="C358" s="2" t="s">
        <v>84</v>
      </c>
      <c r="D358" s="46">
        <v>0.05</v>
      </c>
      <c r="E358" s="44">
        <v>38486.133000000002</v>
      </c>
      <c r="F358" s="45">
        <v>239.4</v>
      </c>
      <c r="G358" s="44">
        <v>160.76078947368421</v>
      </c>
    </row>
    <row r="359" spans="1:7" x14ac:dyDescent="0.25">
      <c r="A359" s="3">
        <v>43282</v>
      </c>
      <c r="B359" s="2" t="s">
        <v>55</v>
      </c>
      <c r="C359" s="2" t="s">
        <v>86</v>
      </c>
      <c r="D359" s="46">
        <v>0.02</v>
      </c>
      <c r="E359" s="44">
        <v>354.53159999999997</v>
      </c>
      <c r="F359" s="45">
        <v>8.16</v>
      </c>
      <c r="G359" s="44">
        <v>43.447499999999998</v>
      </c>
    </row>
    <row r="360" spans="1:7" x14ac:dyDescent="0.25">
      <c r="A360" s="3">
        <v>43282</v>
      </c>
      <c r="B360" s="2" t="s">
        <v>61</v>
      </c>
      <c r="C360" s="2" t="s">
        <v>84</v>
      </c>
      <c r="D360" s="46">
        <v>0.05</v>
      </c>
      <c r="E360" s="44">
        <v>287.66850000000005</v>
      </c>
      <c r="F360" s="45">
        <v>3.1500000000000004</v>
      </c>
      <c r="G360" s="44">
        <v>91.323333333333338</v>
      </c>
    </row>
    <row r="361" spans="1:7" x14ac:dyDescent="0.25">
      <c r="A361" s="3">
        <v>43282</v>
      </c>
      <c r="B361" s="2" t="s">
        <v>38</v>
      </c>
      <c r="C361" s="2" t="s">
        <v>84</v>
      </c>
      <c r="D361" s="46">
        <v>0.05</v>
      </c>
      <c r="E361" s="44">
        <v>769.43999999999994</v>
      </c>
      <c r="F361" s="45">
        <v>3.1500000000000004</v>
      </c>
      <c r="G361" s="44">
        <v>244.26666666666662</v>
      </c>
    </row>
    <row r="362" spans="1:7" x14ac:dyDescent="0.25">
      <c r="A362" s="3">
        <v>43282</v>
      </c>
      <c r="B362" s="2" t="s">
        <v>15</v>
      </c>
      <c r="C362" s="2" t="s">
        <v>85</v>
      </c>
      <c r="D362" s="46">
        <v>0.1</v>
      </c>
      <c r="E362" s="44">
        <v>7992.6440000000002</v>
      </c>
      <c r="F362" s="45">
        <v>103.4</v>
      </c>
      <c r="G362" s="44">
        <v>77.298297872340427</v>
      </c>
    </row>
    <row r="363" spans="1:7" x14ac:dyDescent="0.25">
      <c r="A363" s="3">
        <v>43282</v>
      </c>
      <c r="B363" s="2" t="s">
        <v>17</v>
      </c>
      <c r="C363" s="2" t="s">
        <v>84</v>
      </c>
      <c r="D363" s="46">
        <v>0.05</v>
      </c>
      <c r="E363" s="44">
        <v>5316.3705</v>
      </c>
      <c r="F363" s="45">
        <v>90.3</v>
      </c>
      <c r="G363" s="44">
        <v>58.874534883720933</v>
      </c>
    </row>
    <row r="364" spans="1:7" x14ac:dyDescent="0.25">
      <c r="A364" s="3">
        <v>43282</v>
      </c>
      <c r="B364" s="2" t="s">
        <v>18</v>
      </c>
      <c r="C364" s="2" t="s">
        <v>84</v>
      </c>
      <c r="D364" s="46">
        <v>0.05</v>
      </c>
      <c r="E364" s="44">
        <v>755.98950000000002</v>
      </c>
      <c r="F364" s="45">
        <v>9.4500000000000011</v>
      </c>
      <c r="G364" s="44">
        <v>79.998888888888885</v>
      </c>
    </row>
    <row r="365" spans="1:7" x14ac:dyDescent="0.25">
      <c r="A365" s="3">
        <v>43282</v>
      </c>
      <c r="B365" s="2" t="s">
        <v>19</v>
      </c>
      <c r="C365" s="2" t="s">
        <v>84</v>
      </c>
      <c r="D365" s="46">
        <v>0.05</v>
      </c>
      <c r="E365" s="44">
        <v>1347.171</v>
      </c>
      <c r="F365" s="45">
        <v>19.95</v>
      </c>
      <c r="G365" s="44">
        <v>67.527368421052643</v>
      </c>
    </row>
    <row r="366" spans="1:7" x14ac:dyDescent="0.25">
      <c r="A366" s="3">
        <v>43282</v>
      </c>
      <c r="B366" s="2" t="s">
        <v>39</v>
      </c>
      <c r="C366" s="2" t="s">
        <v>84</v>
      </c>
      <c r="D366" s="46">
        <v>0.05</v>
      </c>
      <c r="E366" s="44">
        <v>288.54000000000002</v>
      </c>
      <c r="F366" s="45">
        <v>3.1500000000000004</v>
      </c>
      <c r="G366" s="44">
        <v>91.6</v>
      </c>
    </row>
    <row r="367" spans="1:7" x14ac:dyDescent="0.25">
      <c r="A367" s="3">
        <v>43282</v>
      </c>
      <c r="B367" s="2" t="s">
        <v>20</v>
      </c>
      <c r="C367" s="2" t="s">
        <v>84</v>
      </c>
      <c r="D367" s="46">
        <v>0.05</v>
      </c>
      <c r="E367" s="44">
        <v>229.66649999999998</v>
      </c>
      <c r="F367" s="45">
        <v>9.4500000000000011</v>
      </c>
      <c r="G367" s="44">
        <v>24.303333333333327</v>
      </c>
    </row>
    <row r="368" spans="1:7" x14ac:dyDescent="0.25">
      <c r="A368" s="3">
        <v>43282</v>
      </c>
      <c r="B368" s="2" t="s">
        <v>21</v>
      </c>
      <c r="C368" s="2" t="s">
        <v>84</v>
      </c>
      <c r="D368" s="46">
        <v>0.05</v>
      </c>
      <c r="E368" s="44">
        <v>613.36799999999994</v>
      </c>
      <c r="F368" s="45">
        <v>7.3500000000000005</v>
      </c>
      <c r="G368" s="44">
        <v>83.451428571428551</v>
      </c>
    </row>
    <row r="369" spans="1:7" x14ac:dyDescent="0.25">
      <c r="A369" s="3">
        <v>43282</v>
      </c>
      <c r="B369" s="2" t="s">
        <v>63</v>
      </c>
      <c r="C369" s="2" t="s">
        <v>84</v>
      </c>
      <c r="D369" s="46">
        <v>0.05</v>
      </c>
      <c r="E369" s="44">
        <v>176.60999999999999</v>
      </c>
      <c r="F369" s="45">
        <v>8.4</v>
      </c>
      <c r="G369" s="44">
        <v>21.024999999999999</v>
      </c>
    </row>
    <row r="370" spans="1:7" x14ac:dyDescent="0.25">
      <c r="A370" s="3">
        <v>43282</v>
      </c>
      <c r="B370" s="2" t="s">
        <v>40</v>
      </c>
      <c r="C370" s="2" t="s">
        <v>86</v>
      </c>
      <c r="D370" s="46">
        <v>0.02</v>
      </c>
      <c r="E370" s="44">
        <v>1099.5498</v>
      </c>
      <c r="F370" s="45">
        <v>4.08</v>
      </c>
      <c r="G370" s="44">
        <v>269.4975</v>
      </c>
    </row>
    <row r="371" spans="1:7" x14ac:dyDescent="0.25">
      <c r="A371" s="3">
        <v>43282</v>
      </c>
      <c r="B371" s="2" t="s">
        <v>22</v>
      </c>
      <c r="C371" s="2" t="s">
        <v>86</v>
      </c>
      <c r="D371" s="46">
        <v>0.02</v>
      </c>
      <c r="E371" s="44">
        <v>24508.682399999998</v>
      </c>
      <c r="F371" s="45">
        <v>320.28000000000003</v>
      </c>
      <c r="G371" s="44">
        <v>76.522675159235661</v>
      </c>
    </row>
    <row r="372" spans="1:7" x14ac:dyDescent="0.25">
      <c r="A372" s="3">
        <v>43282</v>
      </c>
      <c r="B372" s="2" t="s">
        <v>41</v>
      </c>
      <c r="C372" s="2" t="s">
        <v>86</v>
      </c>
      <c r="D372" s="46">
        <v>0.02</v>
      </c>
      <c r="E372" s="44">
        <v>3902.6424000000002</v>
      </c>
      <c r="F372" s="45">
        <v>30.6</v>
      </c>
      <c r="G372" s="44">
        <v>127.53733333333334</v>
      </c>
    </row>
    <row r="373" spans="1:7" x14ac:dyDescent="0.25">
      <c r="A373" s="3">
        <v>43282</v>
      </c>
      <c r="B373" s="2" t="s">
        <v>68</v>
      </c>
      <c r="C373" s="2" t="s">
        <v>86</v>
      </c>
      <c r="D373" s="46">
        <v>0.02</v>
      </c>
      <c r="E373" s="44">
        <v>111.58800000000001</v>
      </c>
      <c r="F373" s="45">
        <v>1.02</v>
      </c>
      <c r="G373" s="44">
        <v>109.4</v>
      </c>
    </row>
    <row r="374" spans="1:7" x14ac:dyDescent="0.25">
      <c r="A374" s="3">
        <v>43282</v>
      </c>
      <c r="B374" s="2" t="s">
        <v>23</v>
      </c>
      <c r="C374" s="2" t="s">
        <v>86</v>
      </c>
      <c r="D374" s="46">
        <v>0.02</v>
      </c>
      <c r="E374" s="44">
        <v>19330.326000000001</v>
      </c>
      <c r="F374" s="45">
        <v>187.68</v>
      </c>
      <c r="G374" s="44">
        <v>102.99619565217391</v>
      </c>
    </row>
    <row r="375" spans="1:7" x14ac:dyDescent="0.25">
      <c r="A375" s="3">
        <v>43282</v>
      </c>
      <c r="B375" s="2" t="s">
        <v>5</v>
      </c>
      <c r="C375" s="2" t="s">
        <v>84</v>
      </c>
      <c r="D375" s="46">
        <v>0.05</v>
      </c>
      <c r="E375" s="44">
        <v>35951.422500000001</v>
      </c>
      <c r="F375" s="45">
        <v>323.40000000000003</v>
      </c>
      <c r="G375" s="44">
        <v>111.16704545454544</v>
      </c>
    </row>
    <row r="376" spans="1:7" x14ac:dyDescent="0.25">
      <c r="A376" s="3">
        <v>43282</v>
      </c>
      <c r="B376" s="2" t="s">
        <v>56</v>
      </c>
      <c r="C376" s="2" t="s">
        <v>86</v>
      </c>
      <c r="D376" s="46">
        <v>0.02</v>
      </c>
      <c r="E376" s="44">
        <v>3745.4297999999999</v>
      </c>
      <c r="F376" s="45">
        <v>37.74</v>
      </c>
      <c r="G376" s="44">
        <v>99.242972972972964</v>
      </c>
    </row>
    <row r="377" spans="1:7" x14ac:dyDescent="0.25">
      <c r="A377" s="3">
        <v>43282</v>
      </c>
      <c r="B377" s="2" t="s">
        <v>42</v>
      </c>
      <c r="C377" s="2" t="s">
        <v>86</v>
      </c>
      <c r="D377" s="46">
        <v>0.02</v>
      </c>
      <c r="E377" s="44">
        <v>1054.6698000000001</v>
      </c>
      <c r="F377" s="45">
        <v>7.1400000000000006</v>
      </c>
      <c r="G377" s="44">
        <v>147.71285714285716</v>
      </c>
    </row>
    <row r="378" spans="1:7" x14ac:dyDescent="0.25">
      <c r="A378" s="3">
        <v>43282</v>
      </c>
      <c r="B378" s="2" t="s">
        <v>43</v>
      </c>
      <c r="C378" s="2" t="s">
        <v>86</v>
      </c>
      <c r="D378" s="46">
        <v>0.02</v>
      </c>
      <c r="E378" s="44">
        <v>13.158000000000001</v>
      </c>
      <c r="F378" s="45">
        <v>1.02</v>
      </c>
      <c r="G378" s="44">
        <v>12.9</v>
      </c>
    </row>
    <row r="379" spans="1:7" x14ac:dyDescent="0.25">
      <c r="A379" s="3">
        <v>43282</v>
      </c>
      <c r="B379" s="2" t="s">
        <v>57</v>
      </c>
      <c r="C379" s="2" t="s">
        <v>86</v>
      </c>
      <c r="D379" s="46">
        <v>0.02</v>
      </c>
      <c r="E379" s="44">
        <v>4655.1270000000004</v>
      </c>
      <c r="F379" s="45">
        <v>43.86</v>
      </c>
      <c r="G379" s="44">
        <v>106.13604651162792</v>
      </c>
    </row>
    <row r="380" spans="1:7" x14ac:dyDescent="0.25">
      <c r="A380" s="3">
        <v>43282</v>
      </c>
      <c r="B380" s="2" t="s">
        <v>58</v>
      </c>
      <c r="C380" s="2" t="s">
        <v>86</v>
      </c>
      <c r="D380" s="46">
        <v>0.02</v>
      </c>
      <c r="E380" s="44">
        <v>95.471999999999994</v>
      </c>
      <c r="F380" s="45">
        <v>2.04</v>
      </c>
      <c r="G380" s="44">
        <v>46.8</v>
      </c>
    </row>
    <row r="381" spans="1:7" x14ac:dyDescent="0.25">
      <c r="A381" s="3">
        <v>43282</v>
      </c>
      <c r="B381" s="2" t="s">
        <v>24</v>
      </c>
      <c r="C381" s="2" t="s">
        <v>86</v>
      </c>
      <c r="D381" s="46">
        <v>0.02</v>
      </c>
      <c r="E381" s="44">
        <v>20656.560600000001</v>
      </c>
      <c r="F381" s="45">
        <v>276.42</v>
      </c>
      <c r="G381" s="44">
        <v>74.728892988929886</v>
      </c>
    </row>
    <row r="382" spans="1:7" x14ac:dyDescent="0.25">
      <c r="A382" s="3">
        <v>43282</v>
      </c>
      <c r="B382" s="2" t="s">
        <v>25</v>
      </c>
      <c r="C382" s="2" t="s">
        <v>84</v>
      </c>
      <c r="D382" s="46">
        <v>0.05</v>
      </c>
      <c r="E382" s="44">
        <v>258.25800000000004</v>
      </c>
      <c r="F382" s="45">
        <v>2.1</v>
      </c>
      <c r="G382" s="44">
        <v>122.98000000000002</v>
      </c>
    </row>
    <row r="383" spans="1:7" x14ac:dyDescent="0.25">
      <c r="A383" s="3">
        <v>43282</v>
      </c>
      <c r="B383" s="2" t="s">
        <v>44</v>
      </c>
      <c r="C383" s="2" t="s">
        <v>86</v>
      </c>
      <c r="D383" s="46">
        <v>0.02</v>
      </c>
      <c r="E383" s="44">
        <v>1342.83</v>
      </c>
      <c r="F383" s="45">
        <v>11.22</v>
      </c>
      <c r="G383" s="44">
        <v>119.68181818181817</v>
      </c>
    </row>
    <row r="384" spans="1:7" x14ac:dyDescent="0.25">
      <c r="A384" s="3">
        <v>43282</v>
      </c>
      <c r="B384" s="2" t="s">
        <v>45</v>
      </c>
      <c r="C384" s="2" t="s">
        <v>84</v>
      </c>
      <c r="D384" s="46">
        <v>0.05</v>
      </c>
      <c r="E384" s="44">
        <v>8727.2955000000002</v>
      </c>
      <c r="F384" s="45">
        <v>76.650000000000006</v>
      </c>
      <c r="G384" s="44">
        <v>113.8590410958904</v>
      </c>
    </row>
    <row r="385" spans="1:7" x14ac:dyDescent="0.25">
      <c r="A385" s="3">
        <v>43282</v>
      </c>
      <c r="B385" s="2" t="s">
        <v>26</v>
      </c>
      <c r="C385" s="2" t="s">
        <v>84</v>
      </c>
      <c r="D385" s="46">
        <v>0.05</v>
      </c>
      <c r="E385" s="44">
        <v>1652.0490000000002</v>
      </c>
      <c r="F385" s="45">
        <v>13.65</v>
      </c>
      <c r="G385" s="44">
        <v>121.02923076923078</v>
      </c>
    </row>
    <row r="386" spans="1:7" x14ac:dyDescent="0.25">
      <c r="A386" s="3">
        <v>43282</v>
      </c>
      <c r="B386" s="2" t="s">
        <v>46</v>
      </c>
      <c r="C386" s="2" t="s">
        <v>84</v>
      </c>
      <c r="D386" s="46">
        <v>0.05</v>
      </c>
      <c r="E386" s="44">
        <v>345.45</v>
      </c>
      <c r="F386" s="45">
        <v>1.05</v>
      </c>
      <c r="G386" s="44">
        <v>329</v>
      </c>
    </row>
    <row r="387" spans="1:7" x14ac:dyDescent="0.25">
      <c r="A387" s="3">
        <v>43282</v>
      </c>
      <c r="B387" s="2" t="s">
        <v>47</v>
      </c>
      <c r="C387" s="2" t="s">
        <v>84</v>
      </c>
      <c r="D387" s="46">
        <v>0.05</v>
      </c>
      <c r="E387" s="44">
        <v>7646.7195000000002</v>
      </c>
      <c r="F387" s="45">
        <v>31.5</v>
      </c>
      <c r="G387" s="44">
        <v>242.75300000000001</v>
      </c>
    </row>
    <row r="388" spans="1:7" x14ac:dyDescent="0.25">
      <c r="A388" s="3">
        <v>43282</v>
      </c>
      <c r="B388" s="2" t="s">
        <v>27</v>
      </c>
      <c r="C388" s="2" t="s">
        <v>86</v>
      </c>
      <c r="D388" s="46">
        <v>0.02</v>
      </c>
      <c r="E388" s="44">
        <v>17230.462200000002</v>
      </c>
      <c r="F388" s="45">
        <v>117.3</v>
      </c>
      <c r="G388" s="44">
        <v>146.89226086956523</v>
      </c>
    </row>
    <row r="389" spans="1:7" x14ac:dyDescent="0.25">
      <c r="A389" s="3">
        <v>43282</v>
      </c>
      <c r="B389" s="2" t="s">
        <v>76</v>
      </c>
      <c r="C389" s="2" t="s">
        <v>84</v>
      </c>
      <c r="D389" s="46">
        <v>0.05</v>
      </c>
      <c r="E389" s="44">
        <v>73.39500000000001</v>
      </c>
      <c r="F389" s="45">
        <v>1.05</v>
      </c>
      <c r="G389" s="44">
        <v>69.900000000000006</v>
      </c>
    </row>
    <row r="390" spans="1:7" x14ac:dyDescent="0.25">
      <c r="A390" s="3">
        <v>43282</v>
      </c>
      <c r="B390" s="2" t="s">
        <v>28</v>
      </c>
      <c r="C390" s="2" t="s">
        <v>84</v>
      </c>
      <c r="D390" s="46">
        <v>0.05</v>
      </c>
      <c r="E390" s="44">
        <v>13370.962500000001</v>
      </c>
      <c r="F390" s="45">
        <v>127.05000000000001</v>
      </c>
      <c r="G390" s="44">
        <v>105.24173553719008</v>
      </c>
    </row>
    <row r="391" spans="1:7" x14ac:dyDescent="0.25">
      <c r="A391" s="3">
        <v>43282</v>
      </c>
      <c r="B391" s="2" t="s">
        <v>29</v>
      </c>
      <c r="C391" s="2" t="s">
        <v>84</v>
      </c>
      <c r="D391" s="46">
        <v>0.05</v>
      </c>
      <c r="E391" s="44">
        <v>6904.7685000000001</v>
      </c>
      <c r="F391" s="45">
        <v>89.25</v>
      </c>
      <c r="G391" s="44">
        <v>77.364352941176477</v>
      </c>
    </row>
    <row r="392" spans="1:7" x14ac:dyDescent="0.25">
      <c r="A392" s="3">
        <v>43282</v>
      </c>
      <c r="B392" s="2" t="s">
        <v>64</v>
      </c>
      <c r="C392" s="2" t="s">
        <v>84</v>
      </c>
      <c r="D392" s="46">
        <v>0.05</v>
      </c>
      <c r="E392" s="44">
        <v>499.70550000000003</v>
      </c>
      <c r="F392" s="45">
        <v>5.25</v>
      </c>
      <c r="G392" s="44">
        <v>95.182000000000002</v>
      </c>
    </row>
    <row r="393" spans="1:7" x14ac:dyDescent="0.25">
      <c r="A393" s="3">
        <v>43282</v>
      </c>
      <c r="B393" s="2" t="s">
        <v>49</v>
      </c>
      <c r="C393" s="2" t="s">
        <v>84</v>
      </c>
      <c r="D393" s="46">
        <v>0.05</v>
      </c>
      <c r="E393" s="44">
        <v>3766.5915</v>
      </c>
      <c r="F393" s="45">
        <v>32.550000000000004</v>
      </c>
      <c r="G393" s="44">
        <v>115.71709677419354</v>
      </c>
    </row>
    <row r="394" spans="1:7" x14ac:dyDescent="0.25">
      <c r="A394" s="3">
        <v>43282</v>
      </c>
      <c r="B394" s="2" t="s">
        <v>30</v>
      </c>
      <c r="C394" s="2" t="s">
        <v>84</v>
      </c>
      <c r="D394" s="46">
        <v>0.05</v>
      </c>
      <c r="E394" s="44">
        <v>38449.771500000003</v>
      </c>
      <c r="F394" s="45">
        <v>393.75</v>
      </c>
      <c r="G394" s="44">
        <v>97.65021333333334</v>
      </c>
    </row>
    <row r="395" spans="1:7" x14ac:dyDescent="0.25">
      <c r="A395" s="3">
        <v>43282</v>
      </c>
      <c r="B395" s="2" t="s">
        <v>50</v>
      </c>
      <c r="C395" s="2" t="s">
        <v>84</v>
      </c>
      <c r="D395" s="46">
        <v>0.05</v>
      </c>
      <c r="E395" s="44">
        <v>7252.192500000001</v>
      </c>
      <c r="F395" s="45">
        <v>80.850000000000009</v>
      </c>
      <c r="G395" s="44">
        <v>89.699350649350649</v>
      </c>
    </row>
    <row r="396" spans="1:7" x14ac:dyDescent="0.25">
      <c r="A396" s="3">
        <v>43282</v>
      </c>
      <c r="B396" s="2" t="s">
        <v>31</v>
      </c>
      <c r="C396" s="2" t="s">
        <v>84</v>
      </c>
      <c r="D396" s="46">
        <v>0.05</v>
      </c>
      <c r="E396" s="44">
        <v>9505.5135000000009</v>
      </c>
      <c r="F396" s="45">
        <v>150.15</v>
      </c>
      <c r="G396" s="44">
        <v>63.306783216783224</v>
      </c>
    </row>
    <row r="397" spans="1:7" x14ac:dyDescent="0.25">
      <c r="A397" s="3">
        <v>43282</v>
      </c>
      <c r="B397" s="2" t="s">
        <v>32</v>
      </c>
      <c r="C397" s="2" t="s">
        <v>84</v>
      </c>
      <c r="D397" s="46">
        <v>0.05</v>
      </c>
      <c r="E397" s="44">
        <v>25154.682000000001</v>
      </c>
      <c r="F397" s="45">
        <v>213.15</v>
      </c>
      <c r="G397" s="44">
        <v>118.01399014778325</v>
      </c>
    </row>
    <row r="398" spans="1:7" x14ac:dyDescent="0.25">
      <c r="A398" s="3">
        <v>43282</v>
      </c>
      <c r="B398" s="2" t="s">
        <v>33</v>
      </c>
      <c r="C398" s="2" t="s">
        <v>84</v>
      </c>
      <c r="D398" s="46">
        <v>0.05</v>
      </c>
      <c r="E398" s="44">
        <v>3116.2530000000002</v>
      </c>
      <c r="F398" s="45">
        <v>60.900000000000006</v>
      </c>
      <c r="G398" s="44">
        <v>51.169999999999995</v>
      </c>
    </row>
    <row r="399" spans="1:7" x14ac:dyDescent="0.25">
      <c r="A399" s="3">
        <v>43282</v>
      </c>
      <c r="B399" s="2" t="s">
        <v>34</v>
      </c>
      <c r="C399" s="2" t="s">
        <v>84</v>
      </c>
      <c r="D399" s="46">
        <v>0.05</v>
      </c>
      <c r="E399" s="44">
        <v>35387.540999999997</v>
      </c>
      <c r="F399" s="45">
        <v>170.1</v>
      </c>
      <c r="G399" s="44">
        <v>208.03962962962962</v>
      </c>
    </row>
    <row r="400" spans="1:7" x14ac:dyDescent="0.25">
      <c r="A400" s="3">
        <v>43313</v>
      </c>
      <c r="B400" s="2" t="s">
        <v>35</v>
      </c>
      <c r="C400" s="2" t="s">
        <v>84</v>
      </c>
      <c r="D400" s="46">
        <v>0.05</v>
      </c>
      <c r="E400" s="44">
        <v>92.4</v>
      </c>
      <c r="F400" s="45">
        <v>4.2</v>
      </c>
      <c r="G400" s="44">
        <v>22</v>
      </c>
    </row>
    <row r="401" spans="1:7" x14ac:dyDescent="0.25">
      <c r="A401" s="3">
        <v>43313</v>
      </c>
      <c r="B401" s="2" t="s">
        <v>6</v>
      </c>
      <c r="C401" s="2" t="s">
        <v>84</v>
      </c>
      <c r="D401" s="46">
        <v>0.05</v>
      </c>
      <c r="E401" s="44">
        <v>4485.3164999999999</v>
      </c>
      <c r="F401" s="45">
        <v>15.75</v>
      </c>
      <c r="G401" s="44">
        <v>284.78199999999998</v>
      </c>
    </row>
    <row r="402" spans="1:7" x14ac:dyDescent="0.25">
      <c r="A402" s="3">
        <v>43313</v>
      </c>
      <c r="B402" s="2" t="s">
        <v>60</v>
      </c>
      <c r="C402" s="2" t="s">
        <v>84</v>
      </c>
      <c r="D402" s="46">
        <v>0.05</v>
      </c>
      <c r="E402" s="44">
        <v>256.935</v>
      </c>
      <c r="F402" s="45">
        <v>4.2</v>
      </c>
      <c r="G402" s="44">
        <v>61.174999999999997</v>
      </c>
    </row>
    <row r="403" spans="1:7" x14ac:dyDescent="0.25">
      <c r="A403" s="3">
        <v>43313</v>
      </c>
      <c r="B403" s="2" t="s">
        <v>7</v>
      </c>
      <c r="C403" s="2" t="s">
        <v>85</v>
      </c>
      <c r="D403" s="46">
        <v>0.1</v>
      </c>
      <c r="E403" s="44">
        <v>1155.7700000000002</v>
      </c>
      <c r="F403" s="45">
        <v>7.7000000000000011</v>
      </c>
      <c r="G403" s="44">
        <v>150.1</v>
      </c>
    </row>
    <row r="404" spans="1:7" x14ac:dyDescent="0.25">
      <c r="A404" s="3">
        <v>43313</v>
      </c>
      <c r="B404" s="2" t="s">
        <v>8</v>
      </c>
      <c r="C404" s="2" t="s">
        <v>84</v>
      </c>
      <c r="D404" s="46">
        <v>0.05</v>
      </c>
      <c r="E404" s="44">
        <v>19868.7405</v>
      </c>
      <c r="F404" s="45">
        <v>169.05</v>
      </c>
      <c r="G404" s="44">
        <v>117.53173913043477</v>
      </c>
    </row>
    <row r="405" spans="1:7" x14ac:dyDescent="0.25">
      <c r="A405" s="3">
        <v>43313</v>
      </c>
      <c r="B405" s="2" t="s">
        <v>9</v>
      </c>
      <c r="C405" s="2" t="s">
        <v>84</v>
      </c>
      <c r="D405" s="46">
        <v>0.05</v>
      </c>
      <c r="E405" s="44">
        <v>20118.105</v>
      </c>
      <c r="F405" s="45">
        <v>133.35</v>
      </c>
      <c r="G405" s="44">
        <v>150.86692913385826</v>
      </c>
    </row>
    <row r="406" spans="1:7" x14ac:dyDescent="0.25">
      <c r="A406" s="3">
        <v>43313</v>
      </c>
      <c r="B406" s="2" t="s">
        <v>10</v>
      </c>
      <c r="C406" s="2" t="s">
        <v>86</v>
      </c>
      <c r="D406" s="46">
        <v>0.02</v>
      </c>
      <c r="E406" s="44">
        <v>57712.242599999998</v>
      </c>
      <c r="F406" s="45">
        <v>516.12</v>
      </c>
      <c r="G406" s="44">
        <v>111.81942687747035</v>
      </c>
    </row>
    <row r="407" spans="1:7" x14ac:dyDescent="0.25">
      <c r="A407" s="3">
        <v>43313</v>
      </c>
      <c r="B407" s="2" t="s">
        <v>36</v>
      </c>
      <c r="C407" s="2" t="s">
        <v>84</v>
      </c>
      <c r="D407" s="46">
        <v>0.05</v>
      </c>
      <c r="E407" s="44">
        <v>2388.75</v>
      </c>
      <c r="F407" s="45">
        <v>28.35</v>
      </c>
      <c r="G407" s="44">
        <v>84.259259259259252</v>
      </c>
    </row>
    <row r="408" spans="1:7" x14ac:dyDescent="0.25">
      <c r="A408" s="3">
        <v>43313</v>
      </c>
      <c r="B408" s="2" t="s">
        <v>65</v>
      </c>
      <c r="C408" s="2" t="s">
        <v>84</v>
      </c>
      <c r="D408" s="46">
        <v>0.05</v>
      </c>
      <c r="E408" s="44">
        <v>64.05</v>
      </c>
      <c r="F408" s="45">
        <v>1.05</v>
      </c>
      <c r="G408" s="44">
        <v>60.999999999999993</v>
      </c>
    </row>
    <row r="409" spans="1:7" x14ac:dyDescent="0.25">
      <c r="A409" s="3">
        <v>43313</v>
      </c>
      <c r="B409" s="2" t="s">
        <v>51</v>
      </c>
      <c r="C409" s="2" t="s">
        <v>84</v>
      </c>
      <c r="D409" s="46">
        <v>0.05</v>
      </c>
      <c r="E409" s="44">
        <v>1256.1990000000001</v>
      </c>
      <c r="F409" s="45">
        <v>9.4500000000000011</v>
      </c>
      <c r="G409" s="44">
        <v>132.93111111111111</v>
      </c>
    </row>
    <row r="410" spans="1:7" x14ac:dyDescent="0.25">
      <c r="A410" s="3">
        <v>43313</v>
      </c>
      <c r="B410" s="2" t="s">
        <v>66</v>
      </c>
      <c r="C410" s="2" t="s">
        <v>84</v>
      </c>
      <c r="D410" s="46">
        <v>0.05</v>
      </c>
      <c r="E410" s="44">
        <v>61.844999999999999</v>
      </c>
      <c r="F410" s="45">
        <v>1.05</v>
      </c>
      <c r="G410" s="44">
        <v>58.9</v>
      </c>
    </row>
    <row r="411" spans="1:7" x14ac:dyDescent="0.25">
      <c r="A411" s="3">
        <v>43313</v>
      </c>
      <c r="B411" s="2" t="s">
        <v>37</v>
      </c>
      <c r="C411" s="2" t="s">
        <v>85</v>
      </c>
      <c r="D411" s="46">
        <v>0.1</v>
      </c>
      <c r="E411" s="44">
        <v>35640</v>
      </c>
      <c r="F411" s="45">
        <v>30.800000000000004</v>
      </c>
      <c r="G411" s="44">
        <v>1157.1428571428569</v>
      </c>
    </row>
    <row r="412" spans="1:7" x14ac:dyDescent="0.25">
      <c r="A412" s="3">
        <v>43313</v>
      </c>
      <c r="B412" s="2" t="s">
        <v>11</v>
      </c>
      <c r="C412" s="2" t="s">
        <v>85</v>
      </c>
      <c r="D412" s="46">
        <v>0.1</v>
      </c>
      <c r="E412" s="44">
        <v>37209.117000000006</v>
      </c>
      <c r="F412" s="45">
        <v>375.1</v>
      </c>
      <c r="G412" s="44">
        <v>99.197859237536662</v>
      </c>
    </row>
    <row r="413" spans="1:7" x14ac:dyDescent="0.25">
      <c r="A413" s="3">
        <v>43313</v>
      </c>
      <c r="B413" s="2" t="s">
        <v>12</v>
      </c>
      <c r="C413" s="2" t="s">
        <v>85</v>
      </c>
      <c r="D413" s="46">
        <v>0.1</v>
      </c>
      <c r="E413" s="44">
        <v>8860.2250000000004</v>
      </c>
      <c r="F413" s="45">
        <v>92.4</v>
      </c>
      <c r="G413" s="44">
        <v>95.889880952380949</v>
      </c>
    </row>
    <row r="414" spans="1:7" x14ac:dyDescent="0.25">
      <c r="A414" s="3">
        <v>43313</v>
      </c>
      <c r="B414" s="2" t="s">
        <v>53</v>
      </c>
      <c r="C414" s="2" t="s">
        <v>86</v>
      </c>
      <c r="D414" s="46">
        <v>0.02</v>
      </c>
      <c r="E414" s="44">
        <v>1203.5999999999999</v>
      </c>
      <c r="F414" s="45">
        <v>7.1400000000000006</v>
      </c>
      <c r="G414" s="44">
        <v>168.57142857142856</v>
      </c>
    </row>
    <row r="415" spans="1:7" x14ac:dyDescent="0.25">
      <c r="A415" s="3">
        <v>43313</v>
      </c>
      <c r="B415" s="2" t="s">
        <v>75</v>
      </c>
      <c r="C415" s="2" t="s">
        <v>86</v>
      </c>
      <c r="D415" s="46">
        <v>0.02</v>
      </c>
      <c r="E415" s="44">
        <v>600.78</v>
      </c>
      <c r="F415" s="45">
        <v>2.04</v>
      </c>
      <c r="G415" s="44">
        <v>294.5</v>
      </c>
    </row>
    <row r="416" spans="1:7" x14ac:dyDescent="0.25">
      <c r="A416" s="3">
        <v>43313</v>
      </c>
      <c r="B416" s="2" t="s">
        <v>54</v>
      </c>
      <c r="C416" s="2" t="s">
        <v>86</v>
      </c>
      <c r="D416" s="46">
        <v>0.02</v>
      </c>
      <c r="E416" s="44">
        <v>9.0780000000000012</v>
      </c>
      <c r="F416" s="45">
        <v>1.02</v>
      </c>
      <c r="G416" s="44">
        <v>8.9</v>
      </c>
    </row>
    <row r="417" spans="1:7" x14ac:dyDescent="0.25">
      <c r="A417" s="3">
        <v>43313</v>
      </c>
      <c r="B417" s="2" t="s">
        <v>13</v>
      </c>
      <c r="C417" s="2" t="s">
        <v>84</v>
      </c>
      <c r="D417" s="46">
        <v>0.05</v>
      </c>
      <c r="E417" s="44">
        <v>40177.735500000003</v>
      </c>
      <c r="F417" s="45">
        <v>268.8</v>
      </c>
      <c r="G417" s="44">
        <v>149.47074218750001</v>
      </c>
    </row>
    <row r="418" spans="1:7" x14ac:dyDescent="0.25">
      <c r="A418" s="3">
        <v>43313</v>
      </c>
      <c r="B418" s="2" t="s">
        <v>55</v>
      </c>
      <c r="C418" s="2" t="s">
        <v>86</v>
      </c>
      <c r="D418" s="46">
        <v>0.02</v>
      </c>
      <c r="E418" s="44">
        <v>1311.9138</v>
      </c>
      <c r="F418" s="45">
        <v>10.199999999999999</v>
      </c>
      <c r="G418" s="44">
        <v>128.619</v>
      </c>
    </row>
    <row r="419" spans="1:7" x14ac:dyDescent="0.25">
      <c r="A419" s="3">
        <v>43313</v>
      </c>
      <c r="B419" s="2" t="s">
        <v>61</v>
      </c>
      <c r="C419" s="2" t="s">
        <v>84</v>
      </c>
      <c r="D419" s="46">
        <v>0.05</v>
      </c>
      <c r="E419" s="44">
        <v>125.89500000000001</v>
      </c>
      <c r="F419" s="45">
        <v>2.1</v>
      </c>
      <c r="G419" s="44">
        <v>59.95</v>
      </c>
    </row>
    <row r="420" spans="1:7" x14ac:dyDescent="0.25">
      <c r="A420" s="3">
        <v>43313</v>
      </c>
      <c r="B420" s="2" t="s">
        <v>38</v>
      </c>
      <c r="C420" s="2" t="s">
        <v>84</v>
      </c>
      <c r="D420" s="46">
        <v>0.05</v>
      </c>
      <c r="E420" s="44">
        <v>119.07000000000001</v>
      </c>
      <c r="F420" s="45">
        <v>6.3000000000000007</v>
      </c>
      <c r="G420" s="44">
        <v>18.899999999999999</v>
      </c>
    </row>
    <row r="421" spans="1:7" x14ac:dyDescent="0.25">
      <c r="A421" s="3">
        <v>43313</v>
      </c>
      <c r="B421" s="2" t="s">
        <v>15</v>
      </c>
      <c r="C421" s="2" t="s">
        <v>85</v>
      </c>
      <c r="D421" s="46">
        <v>0.1</v>
      </c>
      <c r="E421" s="44">
        <v>3139.5650000000005</v>
      </c>
      <c r="F421" s="45">
        <v>61.600000000000009</v>
      </c>
      <c r="G421" s="44">
        <v>50.96696428571429</v>
      </c>
    </row>
    <row r="422" spans="1:7" x14ac:dyDescent="0.25">
      <c r="A422" s="3">
        <v>43313</v>
      </c>
      <c r="B422" s="2" t="s">
        <v>16</v>
      </c>
      <c r="C422" s="2" t="s">
        <v>84</v>
      </c>
      <c r="D422" s="46">
        <v>0.05</v>
      </c>
      <c r="E422" s="44">
        <v>198.13499999999999</v>
      </c>
      <c r="F422" s="45">
        <v>4.2</v>
      </c>
      <c r="G422" s="44">
        <v>47.174999999999997</v>
      </c>
    </row>
    <row r="423" spans="1:7" x14ac:dyDescent="0.25">
      <c r="A423" s="3">
        <v>43313</v>
      </c>
      <c r="B423" s="2" t="s">
        <v>17</v>
      </c>
      <c r="C423" s="2" t="s">
        <v>84</v>
      </c>
      <c r="D423" s="46">
        <v>0.05</v>
      </c>
      <c r="E423" s="44">
        <v>6760.8345000000008</v>
      </c>
      <c r="F423" s="45">
        <v>99.75</v>
      </c>
      <c r="G423" s="44">
        <v>67.777789473684223</v>
      </c>
    </row>
    <row r="424" spans="1:7" x14ac:dyDescent="0.25">
      <c r="A424" s="3">
        <v>43313</v>
      </c>
      <c r="B424" s="2" t="s">
        <v>18</v>
      </c>
      <c r="C424" s="2" t="s">
        <v>84</v>
      </c>
      <c r="D424" s="46">
        <v>0.05</v>
      </c>
      <c r="E424" s="44">
        <v>1233.8130000000001</v>
      </c>
      <c r="F424" s="45">
        <v>14.700000000000001</v>
      </c>
      <c r="G424" s="44">
        <v>83.932857142857145</v>
      </c>
    </row>
    <row r="425" spans="1:7" x14ac:dyDescent="0.25">
      <c r="A425" s="3">
        <v>43313</v>
      </c>
      <c r="B425" s="2" t="s">
        <v>19</v>
      </c>
      <c r="C425" s="2" t="s">
        <v>84</v>
      </c>
      <c r="D425" s="46">
        <v>0.05</v>
      </c>
      <c r="E425" s="44">
        <v>1566.2745000000002</v>
      </c>
      <c r="F425" s="45">
        <v>23.1</v>
      </c>
      <c r="G425" s="44">
        <v>67.804090909090917</v>
      </c>
    </row>
    <row r="426" spans="1:7" x14ac:dyDescent="0.25">
      <c r="A426" s="3">
        <v>43313</v>
      </c>
      <c r="B426" s="2" t="s">
        <v>62</v>
      </c>
      <c r="C426" s="2" t="s">
        <v>84</v>
      </c>
      <c r="D426" s="46">
        <v>0.05</v>
      </c>
      <c r="E426" s="44">
        <v>279.09000000000003</v>
      </c>
      <c r="F426" s="45">
        <v>2.1</v>
      </c>
      <c r="G426" s="44">
        <v>132.9</v>
      </c>
    </row>
    <row r="427" spans="1:7" x14ac:dyDescent="0.25">
      <c r="A427" s="3">
        <v>43313</v>
      </c>
      <c r="B427" s="2" t="s">
        <v>39</v>
      </c>
      <c r="C427" s="2" t="s">
        <v>84</v>
      </c>
      <c r="D427" s="46">
        <v>0.05</v>
      </c>
      <c r="E427" s="44">
        <v>1166.55</v>
      </c>
      <c r="F427" s="45">
        <v>13.65</v>
      </c>
      <c r="G427" s="44">
        <v>85.461538461538453</v>
      </c>
    </row>
    <row r="428" spans="1:7" x14ac:dyDescent="0.25">
      <c r="A428" s="3">
        <v>43313</v>
      </c>
      <c r="B428" s="2" t="s">
        <v>20</v>
      </c>
      <c r="C428" s="2" t="s">
        <v>84</v>
      </c>
      <c r="D428" s="46">
        <v>0.05</v>
      </c>
      <c r="E428" s="44">
        <v>3510.7170000000001</v>
      </c>
      <c r="F428" s="45">
        <v>21</v>
      </c>
      <c r="G428" s="44">
        <v>167.17699999999999</v>
      </c>
    </row>
    <row r="429" spans="1:7" x14ac:dyDescent="0.25">
      <c r="A429" s="3">
        <v>43313</v>
      </c>
      <c r="B429" s="2" t="s">
        <v>21</v>
      </c>
      <c r="C429" s="2" t="s">
        <v>84</v>
      </c>
      <c r="D429" s="46">
        <v>0.05</v>
      </c>
      <c r="E429" s="44">
        <v>382.72500000000002</v>
      </c>
      <c r="F429" s="45">
        <v>8.4</v>
      </c>
      <c r="G429" s="44">
        <v>45.5625</v>
      </c>
    </row>
    <row r="430" spans="1:7" x14ac:dyDescent="0.25">
      <c r="A430" s="3">
        <v>43313</v>
      </c>
      <c r="B430" s="2" t="s">
        <v>63</v>
      </c>
      <c r="C430" s="2" t="s">
        <v>84</v>
      </c>
      <c r="D430" s="46">
        <v>0.05</v>
      </c>
      <c r="E430" s="44">
        <v>519.55050000000006</v>
      </c>
      <c r="F430" s="45">
        <v>15.75</v>
      </c>
      <c r="G430" s="44">
        <v>32.987333333333339</v>
      </c>
    </row>
    <row r="431" spans="1:7" x14ac:dyDescent="0.25">
      <c r="A431" s="3">
        <v>43313</v>
      </c>
      <c r="B431" s="2" t="s">
        <v>40</v>
      </c>
      <c r="C431" s="2" t="s">
        <v>86</v>
      </c>
      <c r="D431" s="46">
        <v>0.02</v>
      </c>
      <c r="E431" s="44">
        <v>630.36</v>
      </c>
      <c r="F431" s="45">
        <v>3.06</v>
      </c>
      <c r="G431" s="44">
        <v>206</v>
      </c>
    </row>
    <row r="432" spans="1:7" x14ac:dyDescent="0.25">
      <c r="A432" s="3">
        <v>43313</v>
      </c>
      <c r="B432" s="2" t="s">
        <v>22</v>
      </c>
      <c r="C432" s="2" t="s">
        <v>86</v>
      </c>
      <c r="D432" s="46">
        <v>0.02</v>
      </c>
      <c r="E432" s="44">
        <v>34267.807800000002</v>
      </c>
      <c r="F432" s="45">
        <v>434.52</v>
      </c>
      <c r="G432" s="44">
        <v>78.863591549295776</v>
      </c>
    </row>
    <row r="433" spans="1:7" x14ac:dyDescent="0.25">
      <c r="A433" s="3">
        <v>43313</v>
      </c>
      <c r="B433" s="2" t="s">
        <v>41</v>
      </c>
      <c r="C433" s="2" t="s">
        <v>86</v>
      </c>
      <c r="D433" s="46">
        <v>0.02</v>
      </c>
      <c r="E433" s="44">
        <v>2527.6314000000002</v>
      </c>
      <c r="F433" s="45">
        <v>23.46</v>
      </c>
      <c r="G433" s="44">
        <v>107.74217391304349</v>
      </c>
    </row>
    <row r="434" spans="1:7" x14ac:dyDescent="0.25">
      <c r="A434" s="3">
        <v>43313</v>
      </c>
      <c r="B434" s="2" t="s">
        <v>23</v>
      </c>
      <c r="C434" s="2" t="s">
        <v>86</v>
      </c>
      <c r="D434" s="46">
        <v>0.02</v>
      </c>
      <c r="E434" s="44">
        <v>23379.348600000001</v>
      </c>
      <c r="F434" s="45">
        <v>237.66</v>
      </c>
      <c r="G434" s="44">
        <v>98.373090128755365</v>
      </c>
    </row>
    <row r="435" spans="1:7" x14ac:dyDescent="0.25">
      <c r="A435" s="3">
        <v>43313</v>
      </c>
      <c r="B435" s="2" t="s">
        <v>5</v>
      </c>
      <c r="C435" s="2" t="s">
        <v>84</v>
      </c>
      <c r="D435" s="46">
        <v>0.05</v>
      </c>
      <c r="E435" s="44">
        <v>51481.741500000004</v>
      </c>
      <c r="F435" s="45">
        <v>369.6</v>
      </c>
      <c r="G435" s="44">
        <v>139.29042613636364</v>
      </c>
    </row>
    <row r="436" spans="1:7" x14ac:dyDescent="0.25">
      <c r="A436" s="3">
        <v>43313</v>
      </c>
      <c r="B436" s="2" t="s">
        <v>56</v>
      </c>
      <c r="C436" s="2" t="s">
        <v>86</v>
      </c>
      <c r="D436" s="46">
        <v>0.02</v>
      </c>
      <c r="E436" s="44">
        <v>3999.777</v>
      </c>
      <c r="F436" s="45">
        <v>42.84</v>
      </c>
      <c r="G436" s="44">
        <v>93.365476190476187</v>
      </c>
    </row>
    <row r="437" spans="1:7" x14ac:dyDescent="0.25">
      <c r="A437" s="3">
        <v>43313</v>
      </c>
      <c r="B437" s="2" t="s">
        <v>42</v>
      </c>
      <c r="C437" s="2" t="s">
        <v>86</v>
      </c>
      <c r="D437" s="46">
        <v>0.02</v>
      </c>
      <c r="E437" s="44">
        <v>3760.2810000000004</v>
      </c>
      <c r="F437" s="45">
        <v>15.3</v>
      </c>
      <c r="G437" s="44">
        <v>245.77</v>
      </c>
    </row>
    <row r="438" spans="1:7" x14ac:dyDescent="0.25">
      <c r="A438" s="3">
        <v>43313</v>
      </c>
      <c r="B438" s="2" t="s">
        <v>57</v>
      </c>
      <c r="C438" s="2" t="s">
        <v>86</v>
      </c>
      <c r="D438" s="46">
        <v>0.02</v>
      </c>
      <c r="E438" s="44">
        <v>4080.1938</v>
      </c>
      <c r="F438" s="45">
        <v>28.560000000000002</v>
      </c>
      <c r="G438" s="44">
        <v>142.86392857142857</v>
      </c>
    </row>
    <row r="439" spans="1:7" x14ac:dyDescent="0.25">
      <c r="A439" s="3">
        <v>43313</v>
      </c>
      <c r="B439" s="2" t="s">
        <v>58</v>
      </c>
      <c r="C439" s="2" t="s">
        <v>86</v>
      </c>
      <c r="D439" s="46">
        <v>0.02</v>
      </c>
      <c r="E439" s="44">
        <v>127.29599999999999</v>
      </c>
      <c r="F439" s="45">
        <v>1.02</v>
      </c>
      <c r="G439" s="44">
        <v>124.8</v>
      </c>
    </row>
    <row r="440" spans="1:7" x14ac:dyDescent="0.25">
      <c r="A440" s="3">
        <v>43313</v>
      </c>
      <c r="B440" s="2" t="s">
        <v>24</v>
      </c>
      <c r="C440" s="2" t="s">
        <v>86</v>
      </c>
      <c r="D440" s="46">
        <v>0.02</v>
      </c>
      <c r="E440" s="44">
        <v>23896.396800000002</v>
      </c>
      <c r="F440" s="45">
        <v>285.60000000000002</v>
      </c>
      <c r="G440" s="44">
        <v>83.670857142857145</v>
      </c>
    </row>
    <row r="441" spans="1:7" x14ac:dyDescent="0.25">
      <c r="A441" s="3">
        <v>43313</v>
      </c>
      <c r="B441" s="2" t="s">
        <v>25</v>
      </c>
      <c r="C441" s="2" t="s">
        <v>84</v>
      </c>
      <c r="D441" s="46">
        <v>0.05</v>
      </c>
      <c r="E441" s="44">
        <v>1004.745</v>
      </c>
      <c r="F441" s="45">
        <v>3.1500000000000004</v>
      </c>
      <c r="G441" s="44">
        <v>318.96666666666664</v>
      </c>
    </row>
    <row r="442" spans="1:7" x14ac:dyDescent="0.25">
      <c r="A442" s="3">
        <v>43313</v>
      </c>
      <c r="B442" s="2" t="s">
        <v>44</v>
      </c>
      <c r="C442" s="2" t="s">
        <v>86</v>
      </c>
      <c r="D442" s="46">
        <v>0.02</v>
      </c>
      <c r="E442" s="44">
        <v>1026.3240000000001</v>
      </c>
      <c r="F442" s="45">
        <v>7.1400000000000006</v>
      </c>
      <c r="G442" s="44">
        <v>143.74285714285713</v>
      </c>
    </row>
    <row r="443" spans="1:7" x14ac:dyDescent="0.25">
      <c r="A443" s="3">
        <v>43313</v>
      </c>
      <c r="B443" s="2" t="s">
        <v>45</v>
      </c>
      <c r="C443" s="2" t="s">
        <v>84</v>
      </c>
      <c r="D443" s="46">
        <v>0.05</v>
      </c>
      <c r="E443" s="44">
        <v>6859.755000000001</v>
      </c>
      <c r="F443" s="45">
        <v>65.100000000000009</v>
      </c>
      <c r="G443" s="44">
        <v>105.37258064516129</v>
      </c>
    </row>
    <row r="444" spans="1:7" x14ac:dyDescent="0.25">
      <c r="A444" s="3">
        <v>43313</v>
      </c>
      <c r="B444" s="2" t="s">
        <v>26</v>
      </c>
      <c r="C444" s="2" t="s">
        <v>84</v>
      </c>
      <c r="D444" s="46">
        <v>0.05</v>
      </c>
      <c r="E444" s="44">
        <v>2034.2595000000001</v>
      </c>
      <c r="F444" s="45">
        <v>24.150000000000002</v>
      </c>
      <c r="G444" s="44">
        <v>84.23434782608696</v>
      </c>
    </row>
    <row r="445" spans="1:7" x14ac:dyDescent="0.25">
      <c r="A445" s="3">
        <v>43313</v>
      </c>
      <c r="B445" s="2" t="s">
        <v>47</v>
      </c>
      <c r="C445" s="2" t="s">
        <v>84</v>
      </c>
      <c r="D445" s="46">
        <v>0.05</v>
      </c>
      <c r="E445" s="44">
        <v>7444.0275000000001</v>
      </c>
      <c r="F445" s="45">
        <v>24.150000000000002</v>
      </c>
      <c r="G445" s="44">
        <v>308.24130434782609</v>
      </c>
    </row>
    <row r="446" spans="1:7" x14ac:dyDescent="0.25">
      <c r="A446" s="3">
        <v>43313</v>
      </c>
      <c r="B446" s="2" t="s">
        <v>27</v>
      </c>
      <c r="C446" s="2" t="s">
        <v>86</v>
      </c>
      <c r="D446" s="46">
        <v>0.02</v>
      </c>
      <c r="E446" s="44">
        <v>10074.907200000001</v>
      </c>
      <c r="F446" s="45">
        <v>59.160000000000004</v>
      </c>
      <c r="G446" s="44">
        <v>170.2993103448276</v>
      </c>
    </row>
    <row r="447" spans="1:7" x14ac:dyDescent="0.25">
      <c r="A447" s="3">
        <v>43313</v>
      </c>
      <c r="B447" s="2" t="s">
        <v>28</v>
      </c>
      <c r="C447" s="2" t="s">
        <v>84</v>
      </c>
      <c r="D447" s="46">
        <v>0.05</v>
      </c>
      <c r="E447" s="44">
        <v>13739.355000000001</v>
      </c>
      <c r="F447" s="45">
        <v>133.35</v>
      </c>
      <c r="G447" s="44">
        <v>103.03228346456694</v>
      </c>
    </row>
    <row r="448" spans="1:7" x14ac:dyDescent="0.25">
      <c r="A448" s="3">
        <v>43313</v>
      </c>
      <c r="B448" s="2" t="s">
        <v>29</v>
      </c>
      <c r="C448" s="2" t="s">
        <v>84</v>
      </c>
      <c r="D448" s="46">
        <v>0.05</v>
      </c>
      <c r="E448" s="44">
        <v>10947.079500000002</v>
      </c>
      <c r="F448" s="45">
        <v>93.45</v>
      </c>
      <c r="G448" s="44">
        <v>117.14370786516855</v>
      </c>
    </row>
    <row r="449" spans="1:7" x14ac:dyDescent="0.25">
      <c r="A449" s="3">
        <v>43313</v>
      </c>
      <c r="B449" s="2" t="s">
        <v>64</v>
      </c>
      <c r="C449" s="2" t="s">
        <v>84</v>
      </c>
      <c r="D449" s="46">
        <v>0.05</v>
      </c>
      <c r="E449" s="44">
        <v>396.69000000000005</v>
      </c>
      <c r="F449" s="45">
        <v>4.2</v>
      </c>
      <c r="G449" s="44">
        <v>94.45</v>
      </c>
    </row>
    <row r="450" spans="1:7" x14ac:dyDescent="0.25">
      <c r="A450" s="3">
        <v>43313</v>
      </c>
      <c r="B450" s="2" t="s">
        <v>49</v>
      </c>
      <c r="C450" s="2" t="s">
        <v>84</v>
      </c>
      <c r="D450" s="46">
        <v>0.05</v>
      </c>
      <c r="E450" s="44">
        <v>4511.8605000000007</v>
      </c>
      <c r="F450" s="45">
        <v>37.800000000000004</v>
      </c>
      <c r="G450" s="44">
        <v>119.3613888888889</v>
      </c>
    </row>
    <row r="451" spans="1:7" x14ac:dyDescent="0.25">
      <c r="A451" s="3">
        <v>43313</v>
      </c>
      <c r="B451" s="2" t="s">
        <v>73</v>
      </c>
      <c r="C451" s="2" t="s">
        <v>86</v>
      </c>
      <c r="D451" s="46">
        <v>0.02</v>
      </c>
      <c r="E451" s="44">
        <v>22.337999999999997</v>
      </c>
      <c r="F451" s="45">
        <v>1.02</v>
      </c>
      <c r="G451" s="44">
        <v>21.9</v>
      </c>
    </row>
    <row r="452" spans="1:7" x14ac:dyDescent="0.25">
      <c r="A452" s="3">
        <v>43313</v>
      </c>
      <c r="B452" s="2" t="s">
        <v>30</v>
      </c>
      <c r="C452" s="2" t="s">
        <v>84</v>
      </c>
      <c r="D452" s="46">
        <v>0.05</v>
      </c>
      <c r="E452" s="44">
        <v>42656.008499999996</v>
      </c>
      <c r="F452" s="45">
        <v>437.85</v>
      </c>
      <c r="G452" s="44">
        <v>97.421510791366899</v>
      </c>
    </row>
    <row r="453" spans="1:7" x14ac:dyDescent="0.25">
      <c r="A453" s="3">
        <v>43313</v>
      </c>
      <c r="B453" s="2" t="s">
        <v>50</v>
      </c>
      <c r="C453" s="2" t="s">
        <v>84</v>
      </c>
      <c r="D453" s="46">
        <v>0.05</v>
      </c>
      <c r="E453" s="44">
        <v>6685.2555000000002</v>
      </c>
      <c r="F453" s="45">
        <v>84</v>
      </c>
      <c r="G453" s="44">
        <v>79.586375000000004</v>
      </c>
    </row>
    <row r="454" spans="1:7" x14ac:dyDescent="0.25">
      <c r="A454" s="3">
        <v>43313</v>
      </c>
      <c r="B454" s="2" t="s">
        <v>31</v>
      </c>
      <c r="C454" s="2" t="s">
        <v>84</v>
      </c>
      <c r="D454" s="46">
        <v>0.05</v>
      </c>
      <c r="E454" s="44">
        <v>11080.9755</v>
      </c>
      <c r="F454" s="45">
        <v>138.6</v>
      </c>
      <c r="G454" s="44">
        <v>79.949318181818185</v>
      </c>
    </row>
    <row r="455" spans="1:7" x14ac:dyDescent="0.25">
      <c r="A455" s="3">
        <v>43313</v>
      </c>
      <c r="B455" s="2" t="s">
        <v>32</v>
      </c>
      <c r="C455" s="2" t="s">
        <v>84</v>
      </c>
      <c r="D455" s="46">
        <v>0.05</v>
      </c>
      <c r="E455" s="44">
        <v>18559.138500000001</v>
      </c>
      <c r="F455" s="45">
        <v>191.1</v>
      </c>
      <c r="G455" s="44">
        <v>97.117417582417588</v>
      </c>
    </row>
    <row r="456" spans="1:7" x14ac:dyDescent="0.25">
      <c r="A456" s="3">
        <v>43313</v>
      </c>
      <c r="B456" s="2" t="s">
        <v>33</v>
      </c>
      <c r="C456" s="2" t="s">
        <v>84</v>
      </c>
      <c r="D456" s="46">
        <v>0.05</v>
      </c>
      <c r="E456" s="44">
        <v>5216.8725000000004</v>
      </c>
      <c r="F456" s="45">
        <v>78.75</v>
      </c>
      <c r="G456" s="44">
        <v>66.246000000000009</v>
      </c>
    </row>
    <row r="457" spans="1:7" x14ac:dyDescent="0.25">
      <c r="A457" s="3">
        <v>43313</v>
      </c>
      <c r="B457" s="2" t="s">
        <v>34</v>
      </c>
      <c r="C457" s="2" t="s">
        <v>84</v>
      </c>
      <c r="D457" s="46">
        <v>0.05</v>
      </c>
      <c r="E457" s="44">
        <v>37979.497499999998</v>
      </c>
      <c r="F457" s="45">
        <v>221.55</v>
      </c>
      <c r="G457" s="44">
        <v>171.42630331753551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6859-5D2B-44A0-85D0-9AAFA0DEC731}">
  <sheetPr>
    <tabColor rgb="FF808080"/>
  </sheetPr>
  <dimension ref="A1:L45"/>
  <sheetViews>
    <sheetView showGridLines="0" workbookViewId="0">
      <pane ySplit="1" topLeftCell="A2" activePane="bottomLeft" state="frozen"/>
      <selection pane="bottomLeft" activeCell="I22" sqref="I22"/>
    </sheetView>
  </sheetViews>
  <sheetFormatPr defaultRowHeight="15" x14ac:dyDescent="0.25"/>
  <cols>
    <col min="1" max="1" width="9.7109375" bestFit="1" customWidth="1"/>
    <col min="2" max="2" width="11.85546875" bestFit="1" customWidth="1"/>
    <col min="3" max="4" width="12" bestFit="1" customWidth="1"/>
    <col min="5" max="5" width="12.7109375" bestFit="1" customWidth="1"/>
    <col min="6" max="6" width="14.42578125" bestFit="1" customWidth="1"/>
  </cols>
  <sheetData>
    <row r="1" spans="1:6" x14ac:dyDescent="0.25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 x14ac:dyDescent="0.25">
      <c r="A2" s="3">
        <v>42979</v>
      </c>
      <c r="B2" s="2" t="s">
        <v>92</v>
      </c>
      <c r="C2" s="44">
        <v>8.5031099999999995</v>
      </c>
      <c r="D2" s="44">
        <v>8.589239962884589</v>
      </c>
      <c r="E2" s="48">
        <v>8.6129962884589517E-2</v>
      </c>
      <c r="F2" s="47">
        <v>1.0129230703188542E-2</v>
      </c>
    </row>
    <row r="3" spans="1:6" x14ac:dyDescent="0.25">
      <c r="A3" s="3">
        <v>42979</v>
      </c>
      <c r="B3" s="2" t="s">
        <v>93</v>
      </c>
      <c r="C3" s="44">
        <v>14.175000000000001</v>
      </c>
      <c r="D3" s="44">
        <v>12.97555580656401</v>
      </c>
      <c r="E3" s="48">
        <v>-1.1994441934359905</v>
      </c>
      <c r="F3" s="47">
        <v>-8.4616874316471996E-2</v>
      </c>
    </row>
    <row r="4" spans="1:6" x14ac:dyDescent="0.25">
      <c r="A4" s="3">
        <v>42979</v>
      </c>
      <c r="B4" s="2" t="s">
        <v>94</v>
      </c>
      <c r="C4" s="44">
        <v>45000</v>
      </c>
      <c r="D4" s="44">
        <v>45447.042737710115</v>
      </c>
      <c r="E4" s="48">
        <v>447.04273771011503</v>
      </c>
      <c r="F4" s="47">
        <v>9.9342830602247786E-3</v>
      </c>
    </row>
    <row r="5" spans="1:6" x14ac:dyDescent="0.25">
      <c r="A5" s="3">
        <v>42979</v>
      </c>
      <c r="B5" s="2" t="s">
        <v>95</v>
      </c>
      <c r="C5" s="44">
        <v>8000</v>
      </c>
      <c r="D5" s="44">
        <v>7962.7416197143793</v>
      </c>
      <c r="E5" s="48">
        <v>-37.25838028562066</v>
      </c>
      <c r="F5" s="47">
        <v>-4.6572975357025825E-3</v>
      </c>
    </row>
    <row r="6" spans="1:6" x14ac:dyDescent="0.25">
      <c r="A6" s="3">
        <v>43009</v>
      </c>
      <c r="B6" s="2" t="s">
        <v>92</v>
      </c>
      <c r="C6" s="44">
        <v>2523.9733979999996</v>
      </c>
      <c r="D6" s="44">
        <v>1984.5694198722724</v>
      </c>
      <c r="E6" s="48">
        <v>-539.40397812772721</v>
      </c>
      <c r="F6" s="47">
        <v>-0.21371222793201852</v>
      </c>
    </row>
    <row r="7" spans="1:6" x14ac:dyDescent="0.25">
      <c r="A7" s="3">
        <v>43009</v>
      </c>
      <c r="B7" s="2" t="s">
        <v>93</v>
      </c>
      <c r="C7" s="44">
        <v>1461.4649999999999</v>
      </c>
      <c r="D7" s="44">
        <v>1557.6346479973511</v>
      </c>
      <c r="E7" s="48">
        <v>96.169647997351149</v>
      </c>
      <c r="F7" s="47">
        <v>6.5803592968255248E-2</v>
      </c>
    </row>
    <row r="8" spans="1:6" x14ac:dyDescent="0.25">
      <c r="A8" s="3">
        <v>43009</v>
      </c>
      <c r="B8" s="2" t="s">
        <v>94</v>
      </c>
      <c r="C8" s="44">
        <v>45000</v>
      </c>
      <c r="D8" s="44">
        <v>44875.56212894593</v>
      </c>
      <c r="E8" s="48">
        <v>-124.43787105406955</v>
      </c>
      <c r="F8" s="47">
        <v>-2.7652860234237677E-3</v>
      </c>
    </row>
    <row r="9" spans="1:6" x14ac:dyDescent="0.25">
      <c r="A9" s="3">
        <v>43009</v>
      </c>
      <c r="B9" s="2" t="s">
        <v>95</v>
      </c>
      <c r="C9" s="44">
        <v>8000</v>
      </c>
      <c r="D9" s="44">
        <v>8019.3569817252828</v>
      </c>
      <c r="E9" s="48">
        <v>19.356981725282822</v>
      </c>
      <c r="F9" s="47">
        <v>2.4196227156603528E-3</v>
      </c>
    </row>
    <row r="10" spans="1:6" x14ac:dyDescent="0.25">
      <c r="A10" s="3">
        <v>43070</v>
      </c>
      <c r="B10" s="2" t="s">
        <v>92</v>
      </c>
      <c r="C10" s="44">
        <v>0.68669999999999998</v>
      </c>
      <c r="D10" s="44">
        <v>0.63062585746028355</v>
      </c>
      <c r="E10" s="48">
        <v>-5.6074142539716432E-2</v>
      </c>
      <c r="F10" s="47">
        <v>-8.1657408678777396E-2</v>
      </c>
    </row>
    <row r="11" spans="1:6" x14ac:dyDescent="0.25">
      <c r="A11" s="3">
        <v>43070</v>
      </c>
      <c r="B11" s="2" t="s">
        <v>93</v>
      </c>
      <c r="C11" s="44">
        <v>4.7250000000000005</v>
      </c>
      <c r="D11" s="44">
        <v>4.2635211003109541</v>
      </c>
      <c r="E11" s="48">
        <v>-0.46147889968904643</v>
      </c>
      <c r="F11" s="47">
        <v>-9.766749199768178E-2</v>
      </c>
    </row>
    <row r="12" spans="1:6" x14ac:dyDescent="0.25">
      <c r="A12" s="3">
        <v>43070</v>
      </c>
      <c r="B12" s="2" t="s">
        <v>94</v>
      </c>
      <c r="C12" s="44">
        <v>45000</v>
      </c>
      <c r="D12" s="44">
        <v>45582.919684290617</v>
      </c>
      <c r="E12" s="48">
        <v>582.91968429061671</v>
      </c>
      <c r="F12" s="47">
        <v>1.2953770762013705E-2</v>
      </c>
    </row>
    <row r="13" spans="1:6" x14ac:dyDescent="0.25">
      <c r="A13" s="3">
        <v>43070</v>
      </c>
      <c r="B13" s="2" t="s">
        <v>95</v>
      </c>
      <c r="C13" s="44">
        <v>8000</v>
      </c>
      <c r="D13" s="44">
        <v>7846.9375804273759</v>
      </c>
      <c r="E13" s="48">
        <v>-153.06241957262409</v>
      </c>
      <c r="F13" s="47">
        <v>-1.9132802446578012E-2</v>
      </c>
    </row>
    <row r="14" spans="1:6" x14ac:dyDescent="0.25">
      <c r="A14" s="3">
        <v>43101</v>
      </c>
      <c r="B14" s="2" t="s">
        <v>92</v>
      </c>
      <c r="C14" s="44">
        <v>7003.9853699999994</v>
      </c>
      <c r="D14" s="44">
        <v>7120.5203993295609</v>
      </c>
      <c r="E14" s="48">
        <v>116.53502932956144</v>
      </c>
      <c r="F14" s="47">
        <v>1.6638388456479806E-2</v>
      </c>
    </row>
    <row r="15" spans="1:6" x14ac:dyDescent="0.25">
      <c r="A15" s="3">
        <v>43101</v>
      </c>
      <c r="B15" s="2" t="s">
        <v>93</v>
      </c>
      <c r="C15" s="44">
        <v>4268.3850000000002</v>
      </c>
      <c r="D15" s="44">
        <v>4339.7058188771498</v>
      </c>
      <c r="E15" s="48">
        <v>71.320818877149577</v>
      </c>
      <c r="F15" s="47">
        <v>1.6709087600380371E-2</v>
      </c>
    </row>
    <row r="16" spans="1:6" x14ac:dyDescent="0.25">
      <c r="A16" s="3">
        <v>43101</v>
      </c>
      <c r="B16" s="2" t="s">
        <v>94</v>
      </c>
      <c r="C16" s="44">
        <v>45000</v>
      </c>
      <c r="D16" s="44">
        <v>46370.726870767219</v>
      </c>
      <c r="E16" s="48">
        <v>1370.7268707672192</v>
      </c>
      <c r="F16" s="47">
        <v>3.0460597128160426E-2</v>
      </c>
    </row>
    <row r="17" spans="1:6" x14ac:dyDescent="0.25">
      <c r="A17" s="3">
        <v>43101</v>
      </c>
      <c r="B17" s="2" t="s">
        <v>95</v>
      </c>
      <c r="C17" s="44">
        <v>8000</v>
      </c>
      <c r="D17" s="44">
        <v>7862.0065733989577</v>
      </c>
      <c r="E17" s="48">
        <v>-137.9934266010423</v>
      </c>
      <c r="F17" s="47">
        <v>-1.7249178325130288E-2</v>
      </c>
    </row>
    <row r="18" spans="1:6" x14ac:dyDescent="0.25">
      <c r="A18" s="3">
        <v>43132</v>
      </c>
      <c r="B18" s="2" t="s">
        <v>92</v>
      </c>
      <c r="C18" s="44">
        <v>14448.086238</v>
      </c>
      <c r="D18" s="44">
        <v>11953.638068102766</v>
      </c>
      <c r="E18" s="48">
        <v>-2494.448169897234</v>
      </c>
      <c r="F18" s="47">
        <v>-0.17264903661334541</v>
      </c>
    </row>
    <row r="19" spans="1:6" x14ac:dyDescent="0.25">
      <c r="A19" s="3">
        <v>43132</v>
      </c>
      <c r="B19" s="2" t="s">
        <v>93</v>
      </c>
      <c r="C19" s="44">
        <v>8719.11</v>
      </c>
      <c r="D19" s="44">
        <v>7352.1836500942891</v>
      </c>
      <c r="E19" s="48">
        <v>-1366.9263499057115</v>
      </c>
      <c r="F19" s="47">
        <v>-0.15677360991038208</v>
      </c>
    </row>
    <row r="20" spans="1:6" x14ac:dyDescent="0.25">
      <c r="A20" s="3">
        <v>43132</v>
      </c>
      <c r="B20" s="2" t="s">
        <v>94</v>
      </c>
      <c r="C20" s="44">
        <v>45000</v>
      </c>
      <c r="D20" s="44">
        <v>44789.261962748998</v>
      </c>
      <c r="E20" s="48">
        <v>-210.73803725100151</v>
      </c>
      <c r="F20" s="47">
        <v>-4.6830674944667002E-3</v>
      </c>
    </row>
    <row r="21" spans="1:6" x14ac:dyDescent="0.25">
      <c r="A21" s="3">
        <v>43132</v>
      </c>
      <c r="B21" s="2" t="s">
        <v>95</v>
      </c>
      <c r="C21" s="44">
        <v>8000</v>
      </c>
      <c r="D21" s="44">
        <v>7955.0169976607222</v>
      </c>
      <c r="E21" s="48">
        <v>-44.983002339277846</v>
      </c>
      <c r="F21" s="47">
        <v>-5.6228752924097304E-3</v>
      </c>
    </row>
    <row r="22" spans="1:6" x14ac:dyDescent="0.25">
      <c r="A22" s="3">
        <v>43160</v>
      </c>
      <c r="B22" s="2" t="s">
        <v>92</v>
      </c>
      <c r="C22" s="44">
        <v>22540.260696000001</v>
      </c>
      <c r="D22" s="44">
        <v>23810.510387472306</v>
      </c>
      <c r="E22" s="48">
        <v>1270.2496914723051</v>
      </c>
      <c r="F22" s="47">
        <v>5.6354702751850776E-2</v>
      </c>
    </row>
    <row r="23" spans="1:6" x14ac:dyDescent="0.25">
      <c r="A23" s="3">
        <v>43160</v>
      </c>
      <c r="B23" s="2" t="s">
        <v>93</v>
      </c>
      <c r="C23" s="44">
        <v>13562.19</v>
      </c>
      <c r="D23" s="44">
        <v>12121.141075959216</v>
      </c>
      <c r="E23" s="48">
        <v>-1441.0489240407842</v>
      </c>
      <c r="F23" s="47">
        <v>-0.10625488391187442</v>
      </c>
    </row>
    <row r="24" spans="1:6" x14ac:dyDescent="0.25">
      <c r="A24" s="3">
        <v>43160</v>
      </c>
      <c r="B24" s="2" t="s">
        <v>94</v>
      </c>
      <c r="C24" s="44">
        <v>45000</v>
      </c>
      <c r="D24" s="44">
        <v>44789.276738745735</v>
      </c>
      <c r="E24" s="48">
        <v>-210.7232612542648</v>
      </c>
      <c r="F24" s="47">
        <v>-4.6827391389836623E-3</v>
      </c>
    </row>
    <row r="25" spans="1:6" x14ac:dyDescent="0.25">
      <c r="A25" s="3">
        <v>43160</v>
      </c>
      <c r="B25" s="2" t="s">
        <v>95</v>
      </c>
      <c r="C25" s="44">
        <v>8000</v>
      </c>
      <c r="D25" s="44">
        <v>7918.9735103732464</v>
      </c>
      <c r="E25" s="48">
        <v>-81.026489626753573</v>
      </c>
      <c r="F25" s="47">
        <v>-1.0128311203344197E-2</v>
      </c>
    </row>
    <row r="26" spans="1:6" x14ac:dyDescent="0.25">
      <c r="A26" s="3">
        <v>43191</v>
      </c>
      <c r="B26" s="2" t="s">
        <v>92</v>
      </c>
      <c r="C26" s="44">
        <v>21357.830850000002</v>
      </c>
      <c r="D26" s="44">
        <v>19433.579918812287</v>
      </c>
      <c r="E26" s="48">
        <v>-1924.2509311877147</v>
      </c>
      <c r="F26" s="47">
        <v>-9.0095803487820703E-2</v>
      </c>
    </row>
    <row r="27" spans="1:6" x14ac:dyDescent="0.25">
      <c r="A27" s="3">
        <v>43191</v>
      </c>
      <c r="B27" s="2" t="s">
        <v>93</v>
      </c>
      <c r="C27" s="44">
        <v>12056.985000000001</v>
      </c>
      <c r="D27" s="44">
        <v>12246.869237436438</v>
      </c>
      <c r="E27" s="48">
        <v>189.88423743643762</v>
      </c>
      <c r="F27" s="47">
        <v>1.5748898869529789E-2</v>
      </c>
    </row>
    <row r="28" spans="1:6" x14ac:dyDescent="0.25">
      <c r="A28" s="3">
        <v>43191</v>
      </c>
      <c r="B28" s="2" t="s">
        <v>94</v>
      </c>
      <c r="C28" s="44">
        <v>45000</v>
      </c>
      <c r="D28" s="44">
        <v>46421.291533956653</v>
      </c>
      <c r="E28" s="48">
        <v>1421.2915339566534</v>
      </c>
      <c r="F28" s="47">
        <v>3.1584256310147857E-2</v>
      </c>
    </row>
    <row r="29" spans="1:6" x14ac:dyDescent="0.25">
      <c r="A29" s="3">
        <v>43191</v>
      </c>
      <c r="B29" s="2" t="s">
        <v>95</v>
      </c>
      <c r="C29" s="44">
        <v>8000</v>
      </c>
      <c r="D29" s="44">
        <v>8025.1397866076213</v>
      </c>
      <c r="E29" s="48">
        <v>25.139786607621318</v>
      </c>
      <c r="F29" s="47">
        <v>3.1424733259526648E-3</v>
      </c>
    </row>
    <row r="30" spans="1:6" x14ac:dyDescent="0.25">
      <c r="A30" s="3">
        <v>43221</v>
      </c>
      <c r="B30" s="2" t="s">
        <v>92</v>
      </c>
      <c r="C30" s="44">
        <v>30678.863646000002</v>
      </c>
      <c r="D30" s="44">
        <v>29336.538729555246</v>
      </c>
      <c r="E30" s="48">
        <v>-1342.3249164447552</v>
      </c>
      <c r="F30" s="47">
        <v>-4.375406246899146E-2</v>
      </c>
    </row>
    <row r="31" spans="1:6" x14ac:dyDescent="0.25">
      <c r="A31" s="3">
        <v>43221</v>
      </c>
      <c r="B31" s="2" t="s">
        <v>93</v>
      </c>
      <c r="C31" s="44">
        <v>18783.045000000002</v>
      </c>
      <c r="D31" s="44">
        <v>19892.697080243994</v>
      </c>
      <c r="E31" s="48">
        <v>1109.6520802439918</v>
      </c>
      <c r="F31" s="47">
        <v>5.9077326399632847E-2</v>
      </c>
    </row>
    <row r="32" spans="1:6" x14ac:dyDescent="0.25">
      <c r="A32" s="3">
        <v>43221</v>
      </c>
      <c r="B32" s="2" t="s">
        <v>94</v>
      </c>
      <c r="C32" s="44">
        <v>45000</v>
      </c>
      <c r="D32" s="44">
        <v>45690.691256237616</v>
      </c>
      <c r="E32" s="48">
        <v>690.69125623761647</v>
      </c>
      <c r="F32" s="47">
        <v>1.5348694583058143E-2</v>
      </c>
    </row>
    <row r="33" spans="1:12" x14ac:dyDescent="0.25">
      <c r="A33" s="3">
        <v>43221</v>
      </c>
      <c r="B33" s="2" t="s">
        <v>95</v>
      </c>
      <c r="C33" s="44">
        <v>8000</v>
      </c>
      <c r="D33" s="44">
        <v>7927.3580739583031</v>
      </c>
      <c r="E33" s="48">
        <v>-72.641926041696934</v>
      </c>
      <c r="F33" s="47">
        <v>-9.0802407552121166E-3</v>
      </c>
    </row>
    <row r="34" spans="1:12" x14ac:dyDescent="0.25">
      <c r="A34" s="3">
        <v>43252</v>
      </c>
      <c r="B34" s="2" t="s">
        <v>92</v>
      </c>
      <c r="C34" s="44">
        <v>26476.768722000001</v>
      </c>
      <c r="D34" s="44">
        <v>24087.081700425617</v>
      </c>
      <c r="E34" s="48">
        <v>-2389.6870215743838</v>
      </c>
      <c r="F34" s="47">
        <v>-9.0255991834409605E-2</v>
      </c>
    </row>
    <row r="35" spans="1:12" x14ac:dyDescent="0.25">
      <c r="A35" s="3">
        <v>43252</v>
      </c>
      <c r="B35" s="2" t="s">
        <v>93</v>
      </c>
      <c r="C35" s="44">
        <v>16359.210000000001</v>
      </c>
      <c r="D35" s="44">
        <v>16583.485975946063</v>
      </c>
      <c r="E35" s="48">
        <v>224.27597594606232</v>
      </c>
      <c r="F35" s="47">
        <v>1.3709462495197647E-2</v>
      </c>
    </row>
    <row r="36" spans="1:12" x14ac:dyDescent="0.25">
      <c r="A36" s="3">
        <v>43252</v>
      </c>
      <c r="B36" s="2" t="s">
        <v>94</v>
      </c>
      <c r="C36" s="44">
        <v>45000</v>
      </c>
      <c r="D36" s="44">
        <v>44577.473052658541</v>
      </c>
      <c r="E36" s="48">
        <v>-422.52694734145916</v>
      </c>
      <c r="F36" s="47">
        <v>-9.3894877186990917E-3</v>
      </c>
    </row>
    <row r="37" spans="1:12" x14ac:dyDescent="0.25">
      <c r="A37" s="3">
        <v>43252</v>
      </c>
      <c r="B37" s="2" t="s">
        <v>95</v>
      </c>
      <c r="C37" s="44">
        <v>8000</v>
      </c>
      <c r="D37" s="44">
        <v>7887.0157038931766</v>
      </c>
      <c r="E37" s="48">
        <v>-112.98429610682342</v>
      </c>
      <c r="F37" s="47">
        <v>-1.4123037013352928E-2</v>
      </c>
      <c r="L37" s="47"/>
    </row>
    <row r="38" spans="1:12" x14ac:dyDescent="0.25">
      <c r="A38" s="3">
        <v>43282</v>
      </c>
      <c r="B38" s="2" t="s">
        <v>92</v>
      </c>
      <c r="C38" s="44">
        <v>30127.657175999997</v>
      </c>
      <c r="D38" s="44">
        <v>38498.377496620335</v>
      </c>
      <c r="E38" s="48">
        <v>8370.7203206203376</v>
      </c>
      <c r="F38" s="47">
        <v>0.27784172767634052</v>
      </c>
    </row>
    <row r="39" spans="1:12" x14ac:dyDescent="0.25">
      <c r="A39" s="3">
        <v>43282</v>
      </c>
      <c r="B39" s="2" t="s">
        <v>93</v>
      </c>
      <c r="C39" s="44">
        <v>20678.535000000003</v>
      </c>
      <c r="D39" s="44">
        <v>20487.220035595594</v>
      </c>
      <c r="E39" s="48">
        <v>-191.31496440440969</v>
      </c>
      <c r="F39" s="47">
        <v>-9.2518625910592636E-3</v>
      </c>
    </row>
    <row r="40" spans="1:12" x14ac:dyDescent="0.25">
      <c r="A40" s="3">
        <v>43282</v>
      </c>
      <c r="B40" s="2" t="s">
        <v>94</v>
      </c>
      <c r="C40" s="44">
        <v>45000</v>
      </c>
      <c r="D40" s="44">
        <v>45488.304039227361</v>
      </c>
      <c r="E40" s="48">
        <v>488.3040392273615</v>
      </c>
      <c r="F40" s="47">
        <v>1.0851200871719145E-2</v>
      </c>
    </row>
    <row r="41" spans="1:12" x14ac:dyDescent="0.25">
      <c r="A41" s="3">
        <v>43282</v>
      </c>
      <c r="B41" s="2" t="s">
        <v>95</v>
      </c>
      <c r="C41" s="44">
        <v>8000</v>
      </c>
      <c r="D41" s="44">
        <v>8117.2519015137241</v>
      </c>
      <c r="E41" s="48">
        <v>117.25190151372408</v>
      </c>
      <c r="F41" s="47">
        <v>1.465648768921551E-2</v>
      </c>
    </row>
    <row r="42" spans="1:12" x14ac:dyDescent="0.25">
      <c r="A42" s="3">
        <v>43313</v>
      </c>
      <c r="B42" s="2" t="s">
        <v>92</v>
      </c>
      <c r="C42" s="44">
        <v>34791.89673</v>
      </c>
      <c r="D42" s="44">
        <v>34721.457622616428</v>
      </c>
      <c r="E42" s="48">
        <v>-70.439107383572264</v>
      </c>
      <c r="F42" s="47">
        <v>-2.0245837106901607E-3</v>
      </c>
    </row>
    <row r="43" spans="1:12" x14ac:dyDescent="0.25">
      <c r="A43" s="3">
        <v>43313</v>
      </c>
      <c r="B43" s="2" t="s">
        <v>93</v>
      </c>
      <c r="C43" s="44">
        <v>22484.52</v>
      </c>
      <c r="D43" s="44">
        <v>21942.906234755897</v>
      </c>
      <c r="E43" s="48">
        <v>-541.61376524410298</v>
      </c>
      <c r="F43" s="47">
        <v>-2.4088295647143144E-2</v>
      </c>
    </row>
    <row r="44" spans="1:12" x14ac:dyDescent="0.25">
      <c r="A44" s="3">
        <v>43313</v>
      </c>
      <c r="B44" s="2" t="s">
        <v>94</v>
      </c>
      <c r="C44" s="44">
        <v>45000</v>
      </c>
      <c r="D44" s="44">
        <v>44582.924076468786</v>
      </c>
      <c r="E44" s="48">
        <v>-417.07592353121436</v>
      </c>
      <c r="F44" s="47">
        <v>-9.2683538562492087E-3</v>
      </c>
    </row>
    <row r="45" spans="1:12" x14ac:dyDescent="0.25">
      <c r="A45" s="3">
        <v>43313</v>
      </c>
      <c r="B45" s="2" t="s">
        <v>95</v>
      </c>
      <c r="C45" s="44">
        <v>8000</v>
      </c>
      <c r="D45" s="44">
        <v>7981.9378959610767</v>
      </c>
      <c r="E45" s="48">
        <v>-18.06210403892328</v>
      </c>
      <c r="F45" s="47">
        <v>-2.25776300486541E-3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F4E1-8BBB-4F98-882D-42D588533CB8}">
  <sheetPr>
    <tabColor rgb="FF1F3864"/>
  </sheetPr>
  <dimension ref="A1:N76"/>
  <sheetViews>
    <sheetView showGridLines="0" workbookViewId="0">
      <pane ySplit="1" topLeftCell="A2" activePane="bottomLeft" state="frozen"/>
      <selection activeCell="C1" sqref="C1"/>
      <selection pane="bottomLeft" activeCell="V40" sqref="V40"/>
    </sheetView>
  </sheetViews>
  <sheetFormatPr defaultRowHeight="15" x14ac:dyDescent="0.25"/>
  <cols>
    <col min="1" max="1" width="46" bestFit="1" customWidth="1"/>
    <col min="2" max="2" width="17.7109375" customWidth="1"/>
    <col min="3" max="3" width="17" customWidth="1"/>
    <col min="4" max="4" width="14.42578125" customWidth="1"/>
    <col min="5" max="5" width="13.7109375" customWidth="1"/>
    <col min="6" max="6" width="18" customWidth="1"/>
    <col min="7" max="7" width="17.28515625" customWidth="1"/>
    <col min="8" max="8" width="17.140625" customWidth="1"/>
    <col min="9" max="9" width="13.140625" customWidth="1"/>
    <col min="10" max="10" width="15.7109375" customWidth="1"/>
    <col min="11" max="11" width="8.42578125" customWidth="1"/>
    <col min="12" max="12" width="22.140625" bestFit="1" customWidth="1"/>
    <col min="13" max="13" width="10" customWidth="1"/>
  </cols>
  <sheetData>
    <row r="1" spans="1:14" x14ac:dyDescent="0.25">
      <c r="A1" t="s">
        <v>110</v>
      </c>
      <c r="B1" t="s">
        <v>111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30" t="s">
        <v>121</v>
      </c>
      <c r="M1" s="30" t="s">
        <v>129</v>
      </c>
      <c r="N1" s="5" t="s">
        <v>142</v>
      </c>
    </row>
    <row r="2" spans="1:14" x14ac:dyDescent="0.25">
      <c r="A2" s="49" t="s">
        <v>35</v>
      </c>
      <c r="B2" s="48">
        <f>SUMIFS(tbl_Budget[budget_revenue],tbl_Budget[category],$A2,tbl_Budget[month],i_Setup!$C$10)</f>
        <v>92.4</v>
      </c>
      <c r="C2" s="48">
        <f>SUMIFS(tbl_Actuals[revenue],tbl_Actuals[category],$A2, tbl_Actuals[month],i_Setup!$C$10)</f>
        <v>5021.09</v>
      </c>
      <c r="D2" s="50">
        <f>SUMIFS(tbl_Budget[budget_units],tbl_Budget[category],$A2,tbl_Budget[month],i_Setup!$C$10)</f>
        <v>4.2</v>
      </c>
      <c r="E2" s="50">
        <f>SUMIFS(tbl_Actuals[units], tbl_Actuals[category], $A2, tbl_Actuals[month], i_Setup!$C$10)</f>
        <v>18</v>
      </c>
      <c r="F2" s="48">
        <f>SUMIFS(tbl_Budget[budget_avg_price], tbl_Budget[category], $A2, tbl_Budget[month], i_Setup!$C$10)</f>
        <v>22</v>
      </c>
      <c r="G2" s="48">
        <f>SUMIFS(tbl_Actuals[avg_price], tbl_Actuals[category], $A2, tbl_Actuals[month], i_Setup!$C$10)</f>
        <v>278.94944400000003</v>
      </c>
      <c r="H2" s="48">
        <f>C2-B2</f>
        <v>4928.6900000000005</v>
      </c>
      <c r="I2" s="48">
        <f>IF($B2=0,0,(G2-F2)*E2)</f>
        <v>4625.0899920000002</v>
      </c>
      <c r="J2" s="48">
        <f>IF($B2=0,0,(E2-D2)*F2)</f>
        <v>303.60000000000002</v>
      </c>
      <c r="K2">
        <f>IF($B2=0,"",ROUND(H2-I2-J2,2))</f>
        <v>0</v>
      </c>
      <c r="L2" s="32" t="str">
        <f>IF(AND(B2=0,C2=0),"No Activity",IF(B2=0,"Unbudgeted",""))</f>
        <v/>
      </c>
      <c r="M2" s="32" t="str">
        <f>IF(L2="Unbudgeted",IF(H2&gt;=i_Setup!$C$13,"FLAG",""),IF(L2="No Activity","",IF(AND(ABS(H2)&gt;=i_Setup!$C$13,ABS(H2/B2)&gt;=i_Setup!$C$12),"FLAG","")))</f>
        <v/>
      </c>
      <c r="N2" t="str">
        <f>IF(M2="FLAG",COUNTIF($M$2:M2,"FLAG"),"")</f>
        <v/>
      </c>
    </row>
    <row r="3" spans="1:14" x14ac:dyDescent="0.25">
      <c r="A3" s="49" t="s">
        <v>6</v>
      </c>
      <c r="B3" s="48">
        <f>SUMIFS(tbl_Budget[budget_revenue],tbl_Budget[category],$A3,tbl_Budget[month],i_Setup!$C$10)</f>
        <v>4485.3164999999999</v>
      </c>
      <c r="C3" s="48">
        <f>SUMIFS(tbl_Actuals[revenue],tbl_Actuals[category],$A3, tbl_Actuals[month],i_Setup!$C$10)</f>
        <v>3556.9</v>
      </c>
      <c r="D3" s="50">
        <f>SUMIFS(tbl_Budget[budget_units],tbl_Budget[category],$A3,tbl_Budget[month],i_Setup!$C$10)</f>
        <v>15.75</v>
      </c>
      <c r="E3" s="50">
        <f>SUMIFS(tbl_Actuals[units], tbl_Actuals[category], $A3, tbl_Actuals[month], i_Setup!$C$10)</f>
        <v>21</v>
      </c>
      <c r="F3" s="48">
        <f>SUMIFS(tbl_Budget[budget_avg_price], tbl_Budget[category], $A3, tbl_Budget[month], i_Setup!$C$10)</f>
        <v>284.78199999999998</v>
      </c>
      <c r="G3" s="48">
        <f>SUMIFS(tbl_Actuals[avg_price], tbl_Actuals[category], $A3, tbl_Actuals[month], i_Setup!$C$10)</f>
        <v>169.37619000000001</v>
      </c>
      <c r="H3" s="48">
        <f t="shared" ref="H3:H66" si="0">C3-B3</f>
        <v>-928.41649999999981</v>
      </c>
      <c r="I3" s="48">
        <f t="shared" ref="I3:I66" si="1">IF($B3=0,0,(G3-F3)*E3)</f>
        <v>-2423.5220099999997</v>
      </c>
      <c r="J3" s="48">
        <f t="shared" ref="J3:J66" si="2">IF($B3=0,0,(E3-D3)*F3)</f>
        <v>1495.1054999999999</v>
      </c>
      <c r="K3">
        <f t="shared" ref="K3:K66" si="3">IF($B3=0,"",ROUND(H3-I3-J3,2))</f>
        <v>0</v>
      </c>
      <c r="L3" s="32" t="str">
        <f t="shared" ref="L3:L66" si="4">IF(AND(B3=0,C3=0),"No Activity",IF(B3=0,"Unbudgeted",""))</f>
        <v/>
      </c>
      <c r="M3" s="32" t="str">
        <f>IF(L3="Unbudgeted",IF(H3&gt;=i_Setup!$C$13,"FLAG",""),IF(L3="No Activity","",IF(AND(ABS(H3)&gt;=i_Setup!$C$13,ABS(H3/B3)&gt;=i_Setup!$C$12),"FLAG","")))</f>
        <v/>
      </c>
      <c r="N3" t="str">
        <f>IF(M3="FLAG",COUNTIF($M$2:M3,"FLAG"),"")</f>
        <v/>
      </c>
    </row>
    <row r="4" spans="1:14" x14ac:dyDescent="0.25">
      <c r="A4" s="49" t="s">
        <v>60</v>
      </c>
      <c r="B4" s="48">
        <f>SUMIFS(tbl_Budget[budget_revenue],tbl_Budget[category],$A4,tbl_Budget[month],i_Setup!$C$10)</f>
        <v>256.935</v>
      </c>
      <c r="C4" s="48">
        <f>SUMIFS(tbl_Actuals[revenue],tbl_Actuals[category],$A4, tbl_Actuals[month],i_Setup!$C$10)</f>
        <v>1481.39</v>
      </c>
      <c r="D4" s="50">
        <f>SUMIFS(tbl_Budget[budget_units],tbl_Budget[category],$A4,tbl_Budget[month],i_Setup!$C$10)</f>
        <v>4.2</v>
      </c>
      <c r="E4" s="50">
        <f>SUMIFS(tbl_Actuals[units], tbl_Actuals[category], $A4, tbl_Actuals[month], i_Setup!$C$10)</f>
        <v>18</v>
      </c>
      <c r="F4" s="48">
        <f>SUMIFS(tbl_Budget[budget_avg_price], tbl_Budget[category], $A4, tbl_Budget[month], i_Setup!$C$10)</f>
        <v>61.174999999999997</v>
      </c>
      <c r="G4" s="48">
        <f>SUMIFS(tbl_Actuals[avg_price], tbl_Actuals[category], $A4, tbl_Actuals[month], i_Setup!$C$10)</f>
        <v>82.299443999999994</v>
      </c>
      <c r="H4" s="48">
        <f t="shared" si="0"/>
        <v>1224.4550000000002</v>
      </c>
      <c r="I4" s="48">
        <f t="shared" si="1"/>
        <v>380.23999199999992</v>
      </c>
      <c r="J4" s="48">
        <f t="shared" si="2"/>
        <v>844.21500000000003</v>
      </c>
      <c r="K4">
        <f t="shared" si="3"/>
        <v>0</v>
      </c>
      <c r="L4" s="32" t="str">
        <f t="shared" si="4"/>
        <v/>
      </c>
      <c r="M4" s="32" t="str">
        <f>IF(L4="Unbudgeted",IF(H4&gt;=i_Setup!$C$13,"FLAG",""),IF(L4="No Activity","",IF(AND(ABS(H4)&gt;=i_Setup!$C$13,ABS(H4/B4)&gt;=i_Setup!$C$12),"FLAG","")))</f>
        <v/>
      </c>
      <c r="N4" t="str">
        <f>IF(M4="FLAG",COUNTIF($M$2:M4,"FLAG"),"")</f>
        <v/>
      </c>
    </row>
    <row r="5" spans="1:14" x14ac:dyDescent="0.25">
      <c r="A5" s="49" t="s">
        <v>71</v>
      </c>
      <c r="B5" s="48">
        <f>SUMIFS(tbl_Budget[budget_revenue],tbl_Budget[category],$A5,tbl_Budget[month],i_Setup!$C$10)</f>
        <v>0</v>
      </c>
      <c r="C5" s="48">
        <f>SUMIFS(tbl_Actuals[revenue],tbl_Actuals[category],$A5, tbl_Actuals[month],i_Setup!$C$10)</f>
        <v>901.76</v>
      </c>
      <c r="D5" s="50">
        <f>SUMIFS(tbl_Budget[budget_units],tbl_Budget[category],$A5,tbl_Budget[month],i_Setup!$C$10)</f>
        <v>0</v>
      </c>
      <c r="E5" s="50">
        <f>SUMIFS(tbl_Actuals[units], tbl_Actuals[category], $A5, tbl_Actuals[month], i_Setup!$C$10)</f>
        <v>9</v>
      </c>
      <c r="F5" s="48">
        <f>SUMIFS(tbl_Budget[budget_avg_price], tbl_Budget[category], $A5, tbl_Budget[month], i_Setup!$C$10)</f>
        <v>0</v>
      </c>
      <c r="G5" s="48">
        <f>SUMIFS(tbl_Actuals[avg_price], tbl_Actuals[category], $A5, tbl_Actuals[month], i_Setup!$C$10)</f>
        <v>100.195556</v>
      </c>
      <c r="H5" s="48">
        <f t="shared" si="0"/>
        <v>901.76</v>
      </c>
      <c r="I5" s="48">
        <f t="shared" si="1"/>
        <v>0</v>
      </c>
      <c r="J5" s="48">
        <f t="shared" si="2"/>
        <v>0</v>
      </c>
      <c r="K5" t="str">
        <f t="shared" si="3"/>
        <v/>
      </c>
      <c r="L5" s="32" t="str">
        <f t="shared" si="4"/>
        <v>Unbudgeted</v>
      </c>
      <c r="M5" s="32" t="str">
        <f>IF(L5="Unbudgeted",IF(H5&gt;=i_Setup!$C$13,"FLAG",""),IF(L5="No Activity","",IF(AND(ABS(H5)&gt;=i_Setup!$C$13,ABS(H5/B5)&gt;=i_Setup!$C$12),"FLAG","")))</f>
        <v/>
      </c>
      <c r="N5" t="str">
        <f>IF(M5="FLAG",COUNTIF($M$2:M5,"FLAG"),"")</f>
        <v/>
      </c>
    </row>
    <row r="6" spans="1:14" x14ac:dyDescent="0.25">
      <c r="A6" s="49" t="s">
        <v>7</v>
      </c>
      <c r="B6" s="48">
        <f>SUMIFS(tbl_Budget[budget_revenue],tbl_Budget[category],$A6,tbl_Budget[month],i_Setup!$C$10)</f>
        <v>1155.7700000000002</v>
      </c>
      <c r="C6" s="48">
        <f>SUMIFS(tbl_Actuals[revenue],tbl_Actuals[category],$A6, tbl_Actuals[month],i_Setup!$C$10)</f>
        <v>2069.4</v>
      </c>
      <c r="D6" s="50">
        <f>SUMIFS(tbl_Budget[budget_units],tbl_Budget[category],$A6,tbl_Budget[month],i_Setup!$C$10)</f>
        <v>7.7000000000000011</v>
      </c>
      <c r="E6" s="50">
        <f>SUMIFS(tbl_Actuals[units], tbl_Actuals[category], $A6, tbl_Actuals[month], i_Setup!$C$10)</f>
        <v>26</v>
      </c>
      <c r="F6" s="48">
        <f>SUMIFS(tbl_Budget[budget_avg_price], tbl_Budget[category], $A6, tbl_Budget[month], i_Setup!$C$10)</f>
        <v>150.1</v>
      </c>
      <c r="G6" s="48">
        <f>SUMIFS(tbl_Actuals[avg_price], tbl_Actuals[category], $A6, tbl_Actuals[month], i_Setup!$C$10)</f>
        <v>79.592308000000003</v>
      </c>
      <c r="H6" s="48">
        <f t="shared" si="0"/>
        <v>913.62999999999988</v>
      </c>
      <c r="I6" s="48">
        <f t="shared" si="1"/>
        <v>-1833.1999919999998</v>
      </c>
      <c r="J6" s="48">
        <f t="shared" si="2"/>
        <v>2746.8299999999995</v>
      </c>
      <c r="K6">
        <f t="shared" si="3"/>
        <v>0</v>
      </c>
      <c r="L6" s="32" t="str">
        <f t="shared" si="4"/>
        <v/>
      </c>
      <c r="M6" s="32" t="str">
        <f>IF(L6="Unbudgeted",IF(H6&gt;=i_Setup!$C$13,"FLAG",""),IF(L6="No Activity","",IF(AND(ABS(H6)&gt;=i_Setup!$C$13,ABS(H6/B6)&gt;=i_Setup!$C$12),"FLAG","")))</f>
        <v/>
      </c>
      <c r="N6" t="str">
        <f>IF(M6="FLAG",COUNTIF($M$2:M6,"FLAG"),"")</f>
        <v/>
      </c>
    </row>
    <row r="7" spans="1:14" x14ac:dyDescent="0.25">
      <c r="A7" s="49" t="s">
        <v>8</v>
      </c>
      <c r="B7" s="48">
        <f>SUMIFS(tbl_Budget[budget_revenue],tbl_Budget[category],$A7,tbl_Budget[month],i_Setup!$C$10)</f>
        <v>19868.7405</v>
      </c>
      <c r="C7" s="48">
        <f>SUMIFS(tbl_Actuals[revenue],tbl_Actuals[category],$A7, tbl_Actuals[month],i_Setup!$C$10)</f>
        <v>45032.58</v>
      </c>
      <c r="D7" s="50">
        <f>SUMIFS(tbl_Budget[budget_units],tbl_Budget[category],$A7,tbl_Budget[month],i_Setup!$C$10)</f>
        <v>169.05</v>
      </c>
      <c r="E7" s="50">
        <f>SUMIFS(tbl_Actuals[units], tbl_Actuals[category], $A7, tbl_Actuals[month], i_Setup!$C$10)</f>
        <v>370</v>
      </c>
      <c r="F7" s="48">
        <f>SUMIFS(tbl_Budget[budget_avg_price], tbl_Budget[category], $A7, tbl_Budget[month], i_Setup!$C$10)</f>
        <v>117.53173913043477</v>
      </c>
      <c r="G7" s="48">
        <f>SUMIFS(tbl_Actuals[avg_price], tbl_Actuals[category], $A7, tbl_Actuals[month], i_Setup!$C$10)</f>
        <v>121.709676</v>
      </c>
      <c r="H7" s="48">
        <f t="shared" si="0"/>
        <v>25163.839500000002</v>
      </c>
      <c r="I7" s="48">
        <f t="shared" si="1"/>
        <v>1545.8366417391348</v>
      </c>
      <c r="J7" s="48">
        <f t="shared" si="2"/>
        <v>23618.002978260865</v>
      </c>
      <c r="K7">
        <f t="shared" si="3"/>
        <v>0</v>
      </c>
      <c r="L7" s="32" t="str">
        <f t="shared" si="4"/>
        <v/>
      </c>
      <c r="M7" s="32" t="str">
        <f>IF(L7="Unbudgeted",IF(H7&gt;=i_Setup!$C$13,"FLAG",""),IF(L7="No Activity","",IF(AND(ABS(H7)&gt;=i_Setup!$C$13,ABS(H7/B7)&gt;=i_Setup!$C$12),"FLAG","")))</f>
        <v>FLAG</v>
      </c>
      <c r="N7">
        <f>IF(M7="FLAG",COUNTIF($M$2:M7,"FLAG"),"")</f>
        <v>1</v>
      </c>
    </row>
    <row r="8" spans="1:14" x14ac:dyDescent="0.25">
      <c r="A8" s="49" t="s">
        <v>9</v>
      </c>
      <c r="B8" s="48">
        <f>SUMIFS(tbl_Budget[budget_revenue],tbl_Budget[category],$A8,tbl_Budget[month],i_Setup!$C$10)</f>
        <v>20118.105</v>
      </c>
      <c r="C8" s="48">
        <f>SUMIFS(tbl_Actuals[revenue],tbl_Actuals[category],$A8, tbl_Actuals[month],i_Setup!$C$10)</f>
        <v>21266.57</v>
      </c>
      <c r="D8" s="50">
        <f>SUMIFS(tbl_Budget[budget_units],tbl_Budget[category],$A8,tbl_Budget[month],i_Setup!$C$10)</f>
        <v>133.35</v>
      </c>
      <c r="E8" s="50">
        <f>SUMIFS(tbl_Actuals[units], tbl_Actuals[category], $A8, tbl_Actuals[month], i_Setup!$C$10)</f>
        <v>212</v>
      </c>
      <c r="F8" s="48">
        <f>SUMIFS(tbl_Budget[budget_avg_price], tbl_Budget[category], $A8, tbl_Budget[month], i_Setup!$C$10)</f>
        <v>150.86692913385826</v>
      </c>
      <c r="G8" s="48">
        <f>SUMIFS(tbl_Actuals[avg_price], tbl_Actuals[category], $A8, tbl_Actuals[month], i_Setup!$C$10)</f>
        <v>100.314009</v>
      </c>
      <c r="H8" s="48">
        <f t="shared" si="0"/>
        <v>1148.4650000000001</v>
      </c>
      <c r="I8" s="48">
        <f t="shared" si="1"/>
        <v>-10717.219068377952</v>
      </c>
      <c r="J8" s="48">
        <f t="shared" si="2"/>
        <v>11865.683976377954</v>
      </c>
      <c r="K8">
        <f t="shared" si="3"/>
        <v>0</v>
      </c>
      <c r="L8" s="32" t="str">
        <f t="shared" si="4"/>
        <v/>
      </c>
      <c r="M8" s="32" t="str">
        <f>IF(L8="Unbudgeted",IF(H8&gt;=i_Setup!$C$13,"FLAG",""),IF(L8="No Activity","",IF(AND(ABS(H8)&gt;=i_Setup!$C$13,ABS(H8/B8)&gt;=i_Setup!$C$12),"FLAG","")))</f>
        <v/>
      </c>
      <c r="N8" t="str">
        <f>IF(M8="FLAG",COUNTIF($M$2:M8,"FLAG"),"")</f>
        <v/>
      </c>
    </row>
    <row r="9" spans="1:14" x14ac:dyDescent="0.25">
      <c r="A9" s="49" t="s">
        <v>10</v>
      </c>
      <c r="B9" s="48">
        <f>SUMIFS(tbl_Budget[budget_revenue],tbl_Budget[category],$A9,tbl_Budget[month],i_Setup!$C$10)</f>
        <v>57712.242599999998</v>
      </c>
      <c r="C9" s="48">
        <f>SUMIFS(tbl_Actuals[revenue],tbl_Actuals[category],$A9, tbl_Actuals[month],i_Setup!$C$10)</f>
        <v>60891.09</v>
      </c>
      <c r="D9" s="50">
        <f>SUMIFS(tbl_Budget[budget_units],tbl_Budget[category],$A9,tbl_Budget[month],i_Setup!$C$10)</f>
        <v>516.12</v>
      </c>
      <c r="E9" s="50">
        <f>SUMIFS(tbl_Actuals[units], tbl_Actuals[category], $A9, tbl_Actuals[month], i_Setup!$C$10)</f>
        <v>655</v>
      </c>
      <c r="F9" s="48">
        <f>SUMIFS(tbl_Budget[budget_avg_price], tbl_Budget[category], $A9, tbl_Budget[month], i_Setup!$C$10)</f>
        <v>111.81942687747035</v>
      </c>
      <c r="G9" s="48">
        <f>SUMIFS(tbl_Actuals[avg_price], tbl_Actuals[category], $A9, tbl_Actuals[month], i_Setup!$C$10)</f>
        <v>92.963496000000006</v>
      </c>
      <c r="H9" s="48">
        <f t="shared" si="0"/>
        <v>3178.8473999999987</v>
      </c>
      <c r="I9" s="48">
        <f t="shared" si="1"/>
        <v>-12350.634724743075</v>
      </c>
      <c r="J9" s="48">
        <f t="shared" si="2"/>
        <v>15529.482004743082</v>
      </c>
      <c r="K9">
        <f t="shared" si="3"/>
        <v>0</v>
      </c>
      <c r="L9" s="32" t="str">
        <f t="shared" si="4"/>
        <v/>
      </c>
      <c r="M9" s="32" t="str">
        <f>IF(L9="Unbudgeted",IF(H9&gt;=i_Setup!$C$13,"FLAG",""),IF(L9="No Activity","",IF(AND(ABS(H9)&gt;=i_Setup!$C$13,ABS(H9/B9)&gt;=i_Setup!$C$12),"FLAG","")))</f>
        <v/>
      </c>
      <c r="N9" t="str">
        <f>IF(M9="FLAG",COUNTIF($M$2:M9,"FLAG"),"")</f>
        <v/>
      </c>
    </row>
    <row r="10" spans="1:14" x14ac:dyDescent="0.25">
      <c r="A10" s="49" t="s">
        <v>36</v>
      </c>
      <c r="B10" s="48">
        <f>SUMIFS(tbl_Budget[budget_revenue],tbl_Budget[category],$A10,tbl_Budget[month],i_Setup!$C$10)</f>
        <v>2388.75</v>
      </c>
      <c r="C10" s="48">
        <f>SUMIFS(tbl_Actuals[revenue],tbl_Actuals[category],$A10, tbl_Actuals[month],i_Setup!$C$10)</f>
        <v>1564.78</v>
      </c>
      <c r="D10" s="50">
        <f>SUMIFS(tbl_Budget[budget_units],tbl_Budget[category],$A10,tbl_Budget[month],i_Setup!$C$10)</f>
        <v>28.35</v>
      </c>
      <c r="E10" s="50">
        <f>SUMIFS(tbl_Actuals[units], tbl_Actuals[category], $A10, tbl_Actuals[month], i_Setup!$C$10)</f>
        <v>36</v>
      </c>
      <c r="F10" s="48">
        <f>SUMIFS(tbl_Budget[budget_avg_price], tbl_Budget[category], $A10, tbl_Budget[month], i_Setup!$C$10)</f>
        <v>84.259259259259252</v>
      </c>
      <c r="G10" s="48">
        <f>SUMIFS(tbl_Actuals[avg_price], tbl_Actuals[category], $A10, tbl_Actuals[month], i_Setup!$C$10)</f>
        <v>43.466110999999998</v>
      </c>
      <c r="H10" s="48">
        <f t="shared" si="0"/>
        <v>-823.97</v>
      </c>
      <c r="I10" s="48">
        <f t="shared" si="1"/>
        <v>-1468.5533373333333</v>
      </c>
      <c r="J10" s="48">
        <f t="shared" si="2"/>
        <v>644.58333333333314</v>
      </c>
      <c r="K10">
        <f t="shared" si="3"/>
        <v>0</v>
      </c>
      <c r="L10" s="32" t="str">
        <f t="shared" si="4"/>
        <v/>
      </c>
      <c r="M10" s="32" t="str">
        <f>IF(L10="Unbudgeted",IF(H10&gt;=i_Setup!$C$13,"FLAG",""),IF(L10="No Activity","",IF(AND(ABS(H10)&gt;=i_Setup!$C$13,ABS(H10/B10)&gt;=i_Setup!$C$12),"FLAG","")))</f>
        <v/>
      </c>
      <c r="N10" t="str">
        <f>IF(M10="FLAG",COUNTIF($M$2:M10,"FLAG"),"")</f>
        <v/>
      </c>
    </row>
    <row r="11" spans="1:14" x14ac:dyDescent="0.25">
      <c r="A11" s="49" t="s">
        <v>65</v>
      </c>
      <c r="B11" s="48">
        <f>SUMIFS(tbl_Budget[budget_revenue],tbl_Budget[category],$A11,tbl_Budget[month],i_Setup!$C$10)</f>
        <v>64.05</v>
      </c>
      <c r="C11" s="48">
        <f>SUMIFS(tbl_Actuals[revenue],tbl_Actuals[category],$A11, tbl_Actuals[month],i_Setup!$C$10)</f>
        <v>749</v>
      </c>
      <c r="D11" s="50">
        <f>SUMIFS(tbl_Budget[budget_units],tbl_Budget[category],$A11,tbl_Budget[month],i_Setup!$C$10)</f>
        <v>1.05</v>
      </c>
      <c r="E11" s="50">
        <f>SUMIFS(tbl_Actuals[units], tbl_Actuals[category], $A11, tbl_Actuals[month], i_Setup!$C$10)</f>
        <v>1</v>
      </c>
      <c r="F11" s="48">
        <f>SUMIFS(tbl_Budget[budget_avg_price], tbl_Budget[category], $A11, tbl_Budget[month], i_Setup!$C$10)</f>
        <v>60.999999999999993</v>
      </c>
      <c r="G11" s="48">
        <f>SUMIFS(tbl_Actuals[avg_price], tbl_Actuals[category], $A11, tbl_Actuals[month], i_Setup!$C$10)</f>
        <v>749</v>
      </c>
      <c r="H11" s="48">
        <f t="shared" si="0"/>
        <v>684.95</v>
      </c>
      <c r="I11" s="48">
        <f t="shared" si="1"/>
        <v>688</v>
      </c>
      <c r="J11" s="48">
        <f t="shared" si="2"/>
        <v>-3.0500000000000025</v>
      </c>
      <c r="K11">
        <f t="shared" si="3"/>
        <v>0</v>
      </c>
      <c r="L11" s="32" t="str">
        <f t="shared" si="4"/>
        <v/>
      </c>
      <c r="M11" s="32" t="str">
        <f>IF(L11="Unbudgeted",IF(H11&gt;=i_Setup!$C$13,"FLAG",""),IF(L11="No Activity","",IF(AND(ABS(H11)&gt;=i_Setup!$C$13,ABS(H11/B11)&gt;=i_Setup!$C$12),"FLAG","")))</f>
        <v/>
      </c>
      <c r="N11" t="str">
        <f>IF(M11="FLAG",COUNTIF($M$2:M11,"FLAG"),"")</f>
        <v/>
      </c>
    </row>
    <row r="12" spans="1:14" x14ac:dyDescent="0.25">
      <c r="A12" s="49" t="s">
        <v>51</v>
      </c>
      <c r="B12" s="48">
        <f>SUMIFS(tbl_Budget[budget_revenue],tbl_Budget[category],$A12,tbl_Budget[month],i_Setup!$C$10)</f>
        <v>1256.1990000000001</v>
      </c>
      <c r="C12" s="48">
        <f>SUMIFS(tbl_Actuals[revenue],tbl_Actuals[category],$A12, tbl_Actuals[month],i_Setup!$C$10)</f>
        <v>1483.79</v>
      </c>
      <c r="D12" s="50">
        <f>SUMIFS(tbl_Budget[budget_units],tbl_Budget[category],$A12,tbl_Budget[month],i_Setup!$C$10)</f>
        <v>9.4500000000000011</v>
      </c>
      <c r="E12" s="50">
        <f>SUMIFS(tbl_Actuals[units], tbl_Actuals[category], $A12, tbl_Actuals[month], i_Setup!$C$10)</f>
        <v>29</v>
      </c>
      <c r="F12" s="48">
        <f>SUMIFS(tbl_Budget[budget_avg_price], tbl_Budget[category], $A12, tbl_Budget[month], i_Setup!$C$10)</f>
        <v>132.93111111111111</v>
      </c>
      <c r="G12" s="48">
        <f>SUMIFS(tbl_Actuals[avg_price], tbl_Actuals[category], $A12, tbl_Actuals[month], i_Setup!$C$10)</f>
        <v>51.165171999999998</v>
      </c>
      <c r="H12" s="48">
        <f t="shared" si="0"/>
        <v>227.59099999999989</v>
      </c>
      <c r="I12" s="48">
        <f t="shared" si="1"/>
        <v>-2371.2122342222224</v>
      </c>
      <c r="J12" s="48">
        <f t="shared" si="2"/>
        <v>2598.8032222222218</v>
      </c>
      <c r="K12">
        <f t="shared" si="3"/>
        <v>0</v>
      </c>
      <c r="L12" s="32" t="str">
        <f t="shared" si="4"/>
        <v/>
      </c>
      <c r="M12" s="32" t="str">
        <f>IF(L12="Unbudgeted",IF(H12&gt;=i_Setup!$C$13,"FLAG",""),IF(L12="No Activity","",IF(AND(ABS(H12)&gt;=i_Setup!$C$13,ABS(H12/B12)&gt;=i_Setup!$C$12),"FLAG","")))</f>
        <v/>
      </c>
      <c r="N12" t="str">
        <f>IF(M12="FLAG",COUNTIF($M$2:M12,"FLAG"),"")</f>
        <v/>
      </c>
    </row>
    <row r="13" spans="1:14" x14ac:dyDescent="0.25">
      <c r="A13" s="49" t="s">
        <v>74</v>
      </c>
      <c r="B13" s="48">
        <f>SUMIFS(tbl_Budget[budget_revenue],tbl_Budget[category],$A13,tbl_Budget[month],i_Setup!$C$10)</f>
        <v>0</v>
      </c>
      <c r="C13" s="48">
        <f>SUMIFS(tbl_Actuals[revenue],tbl_Actuals[category],$A13, tbl_Actuals[month],i_Setup!$C$10)</f>
        <v>0</v>
      </c>
      <c r="D13" s="50">
        <f>SUMIFS(tbl_Budget[budget_units],tbl_Budget[category],$A13,tbl_Budget[month],i_Setup!$C$10)</f>
        <v>0</v>
      </c>
      <c r="E13" s="50">
        <f>SUMIFS(tbl_Actuals[units], tbl_Actuals[category], $A13, tbl_Actuals[month], i_Setup!$C$10)</f>
        <v>0</v>
      </c>
      <c r="F13" s="48">
        <f>SUMIFS(tbl_Budget[budget_avg_price], tbl_Budget[category], $A13, tbl_Budget[month], i_Setup!$C$10)</f>
        <v>0</v>
      </c>
      <c r="G13" s="48">
        <f>SUMIFS(tbl_Actuals[avg_price], tbl_Actuals[category], $A13, tbl_Actuals[month], i_Setup!$C$10)</f>
        <v>0</v>
      </c>
      <c r="H13" s="48">
        <f t="shared" si="0"/>
        <v>0</v>
      </c>
      <c r="I13" s="48">
        <f t="shared" si="1"/>
        <v>0</v>
      </c>
      <c r="J13" s="48">
        <f t="shared" si="2"/>
        <v>0</v>
      </c>
      <c r="K13" t="str">
        <f t="shared" si="3"/>
        <v/>
      </c>
      <c r="L13" s="32" t="str">
        <f t="shared" si="4"/>
        <v>No Activity</v>
      </c>
      <c r="M13" s="32" t="str">
        <f>IF(L13="Unbudgeted",IF(H13&gt;=i_Setup!$C$13,"FLAG",""),IF(L13="No Activity","",IF(AND(ABS(H13)&gt;=i_Setup!$C$13,ABS(H13/B13)&gt;=i_Setup!$C$12),"FLAG","")))</f>
        <v/>
      </c>
      <c r="N13" t="str">
        <f>IF(M13="FLAG",COUNTIF($M$2:M13,"FLAG"),"")</f>
        <v/>
      </c>
    </row>
    <row r="14" spans="1:14" x14ac:dyDescent="0.25">
      <c r="A14" s="49" t="s">
        <v>66</v>
      </c>
      <c r="B14" s="48">
        <f>SUMIFS(tbl_Budget[budget_revenue],tbl_Budget[category],$A14,tbl_Budget[month],i_Setup!$C$10)</f>
        <v>61.844999999999999</v>
      </c>
      <c r="C14" s="48">
        <f>SUMIFS(tbl_Actuals[revenue],tbl_Actuals[category],$A14, tbl_Actuals[month],i_Setup!$C$10)</f>
        <v>529.37</v>
      </c>
      <c r="D14" s="50">
        <f>SUMIFS(tbl_Budget[budget_units],tbl_Budget[category],$A14,tbl_Budget[month],i_Setup!$C$10)</f>
        <v>1.05</v>
      </c>
      <c r="E14" s="50">
        <f>SUMIFS(tbl_Actuals[units], tbl_Actuals[category], $A14, tbl_Actuals[month], i_Setup!$C$10)</f>
        <v>10</v>
      </c>
      <c r="F14" s="48">
        <f>SUMIFS(tbl_Budget[budget_avg_price], tbl_Budget[category], $A14, tbl_Budget[month], i_Setup!$C$10)</f>
        <v>58.9</v>
      </c>
      <c r="G14" s="48">
        <f>SUMIFS(tbl_Actuals[avg_price], tbl_Actuals[category], $A14, tbl_Actuals[month], i_Setup!$C$10)</f>
        <v>52.936999999999998</v>
      </c>
      <c r="H14" s="48">
        <f t="shared" si="0"/>
        <v>467.52499999999998</v>
      </c>
      <c r="I14" s="48">
        <f t="shared" si="1"/>
        <v>-59.63000000000001</v>
      </c>
      <c r="J14" s="48">
        <f t="shared" si="2"/>
        <v>527.15499999999997</v>
      </c>
      <c r="K14">
        <f t="shared" si="3"/>
        <v>0</v>
      </c>
      <c r="L14" s="32" t="str">
        <f t="shared" si="4"/>
        <v/>
      </c>
      <c r="M14" s="32" t="str">
        <f>IF(L14="Unbudgeted",IF(H14&gt;=i_Setup!$C$13,"FLAG",""),IF(L14="No Activity","",IF(AND(ABS(H14)&gt;=i_Setup!$C$13,ABS(H14/B14)&gt;=i_Setup!$C$12),"FLAG","")))</f>
        <v/>
      </c>
      <c r="N14" t="str">
        <f>IF(M14="FLAG",COUNTIF($M$2:M14,"FLAG"),"")</f>
        <v/>
      </c>
    </row>
    <row r="15" spans="1:14" x14ac:dyDescent="0.25">
      <c r="A15" s="49" t="s">
        <v>52</v>
      </c>
      <c r="B15" s="48">
        <f>SUMIFS(tbl_Budget[budget_revenue],tbl_Budget[category],$A15,tbl_Budget[month],i_Setup!$C$10)</f>
        <v>0</v>
      </c>
      <c r="C15" s="48">
        <f>SUMIFS(tbl_Actuals[revenue],tbl_Actuals[category],$A15, tbl_Actuals[month],i_Setup!$C$10)</f>
        <v>595.29</v>
      </c>
      <c r="D15" s="50">
        <f>SUMIFS(tbl_Budget[budget_units],tbl_Budget[category],$A15,tbl_Budget[month],i_Setup!$C$10)</f>
        <v>0</v>
      </c>
      <c r="E15" s="50">
        <f>SUMIFS(tbl_Actuals[units], tbl_Actuals[category], $A15, tbl_Actuals[month], i_Setup!$C$10)</f>
        <v>9</v>
      </c>
      <c r="F15" s="48">
        <f>SUMIFS(tbl_Budget[budget_avg_price], tbl_Budget[category], $A15, tbl_Budget[month], i_Setup!$C$10)</f>
        <v>0</v>
      </c>
      <c r="G15" s="48">
        <f>SUMIFS(tbl_Actuals[avg_price], tbl_Actuals[category], $A15, tbl_Actuals[month], i_Setup!$C$10)</f>
        <v>66.143332999999998</v>
      </c>
      <c r="H15" s="48">
        <f t="shared" si="0"/>
        <v>595.29</v>
      </c>
      <c r="I15" s="48">
        <f t="shared" si="1"/>
        <v>0</v>
      </c>
      <c r="J15" s="48">
        <f t="shared" si="2"/>
        <v>0</v>
      </c>
      <c r="K15" t="str">
        <f t="shared" si="3"/>
        <v/>
      </c>
      <c r="L15" s="32" t="str">
        <f t="shared" si="4"/>
        <v>Unbudgeted</v>
      </c>
      <c r="M15" s="32" t="str">
        <f>IF(L15="Unbudgeted",IF(H15&gt;=i_Setup!$C$13,"FLAG",""),IF(L15="No Activity","",IF(AND(ABS(H15)&gt;=i_Setup!$C$13,ABS(H15/B15)&gt;=i_Setup!$C$12),"FLAG","")))</f>
        <v/>
      </c>
      <c r="N15" t="str">
        <f>IF(M15="FLAG",COUNTIF($M$2:M15,"FLAG"),"")</f>
        <v/>
      </c>
    </row>
    <row r="16" spans="1:14" x14ac:dyDescent="0.25">
      <c r="A16" s="49" t="s">
        <v>37</v>
      </c>
      <c r="B16" s="48">
        <f>SUMIFS(tbl_Budget[budget_revenue],tbl_Budget[category],$A16,tbl_Budget[month],i_Setup!$C$10)</f>
        <v>35640</v>
      </c>
      <c r="C16" s="48">
        <f>SUMIFS(tbl_Actuals[revenue],tbl_Actuals[category],$A16, tbl_Actuals[month],i_Setup!$C$10)</f>
        <v>8711.5</v>
      </c>
      <c r="D16" s="50">
        <f>SUMIFS(tbl_Budget[budget_units],tbl_Budget[category],$A16,tbl_Budget[month],i_Setup!$C$10)</f>
        <v>30.800000000000004</v>
      </c>
      <c r="E16" s="50">
        <f>SUMIFS(tbl_Actuals[units], tbl_Actuals[category], $A16, tbl_Actuals[month], i_Setup!$C$10)</f>
        <v>12</v>
      </c>
      <c r="F16" s="48">
        <f>SUMIFS(tbl_Budget[budget_avg_price], tbl_Budget[category], $A16, tbl_Budget[month], i_Setup!$C$10)</f>
        <v>1157.1428571428569</v>
      </c>
      <c r="G16" s="48">
        <f>SUMIFS(tbl_Actuals[avg_price], tbl_Actuals[category], $A16, tbl_Actuals[month], i_Setup!$C$10)</f>
        <v>725.95833300000004</v>
      </c>
      <c r="H16" s="48">
        <f t="shared" si="0"/>
        <v>-26928.5</v>
      </c>
      <c r="I16" s="48">
        <f t="shared" si="1"/>
        <v>-5174.2142897142821</v>
      </c>
      <c r="J16" s="48">
        <f t="shared" si="2"/>
        <v>-21754.285714285714</v>
      </c>
      <c r="K16">
        <f t="shared" si="3"/>
        <v>0</v>
      </c>
      <c r="L16" s="32" t="str">
        <f t="shared" si="4"/>
        <v/>
      </c>
      <c r="M16" s="32" t="str">
        <f>IF(L16="Unbudgeted",IF(H16&gt;=i_Setup!$C$13,"FLAG",""),IF(L16="No Activity","",IF(AND(ABS(H16)&gt;=i_Setup!$C$13,ABS(H16/B16)&gt;=i_Setup!$C$12),"FLAG","")))</f>
        <v>FLAG</v>
      </c>
      <c r="N16">
        <f>IF(M16="FLAG",COUNTIF($M$2:M16,"FLAG"),"")</f>
        <v>2</v>
      </c>
    </row>
    <row r="17" spans="1:14" x14ac:dyDescent="0.25">
      <c r="A17" s="49" t="s">
        <v>11</v>
      </c>
      <c r="B17" s="48">
        <f>SUMIFS(tbl_Budget[budget_revenue],tbl_Budget[category],$A17,tbl_Budget[month],i_Setup!$C$10)</f>
        <v>37209.117000000006</v>
      </c>
      <c r="C17" s="48">
        <f>SUMIFS(tbl_Actuals[revenue],tbl_Actuals[category],$A17, tbl_Actuals[month],i_Setup!$C$10)</f>
        <v>40052.639999999999</v>
      </c>
      <c r="D17" s="50">
        <f>SUMIFS(tbl_Budget[budget_units],tbl_Budget[category],$A17,tbl_Budget[month],i_Setup!$C$10)</f>
        <v>375.1</v>
      </c>
      <c r="E17" s="50">
        <f>SUMIFS(tbl_Actuals[units], tbl_Actuals[category], $A17, tbl_Actuals[month], i_Setup!$C$10)</f>
        <v>415</v>
      </c>
      <c r="F17" s="48">
        <f>SUMIFS(tbl_Budget[budget_avg_price], tbl_Budget[category], $A17, tbl_Budget[month], i_Setup!$C$10)</f>
        <v>99.197859237536662</v>
      </c>
      <c r="G17" s="48">
        <f>SUMIFS(tbl_Actuals[avg_price], tbl_Actuals[category], $A17, tbl_Actuals[month], i_Setup!$C$10)</f>
        <v>96.512386000000006</v>
      </c>
      <c r="H17" s="48">
        <f t="shared" si="0"/>
        <v>2843.5229999999938</v>
      </c>
      <c r="I17" s="48">
        <f t="shared" si="1"/>
        <v>-1114.471393577712</v>
      </c>
      <c r="J17" s="48">
        <f t="shared" si="2"/>
        <v>3957.9945835777107</v>
      </c>
      <c r="K17">
        <f t="shared" si="3"/>
        <v>0</v>
      </c>
      <c r="L17" s="32" t="str">
        <f t="shared" si="4"/>
        <v/>
      </c>
      <c r="M17" s="32" t="str">
        <f>IF(L17="Unbudgeted",IF(H17&gt;=i_Setup!$C$13,"FLAG",""),IF(L17="No Activity","",IF(AND(ABS(H17)&gt;=i_Setup!$C$13,ABS(H17/B17)&gt;=i_Setup!$C$12),"FLAG","")))</f>
        <v/>
      </c>
      <c r="N17" t="str">
        <f>IF(M17="FLAG",COUNTIF($M$2:M17,"FLAG"),"")</f>
        <v/>
      </c>
    </row>
    <row r="18" spans="1:14" x14ac:dyDescent="0.25">
      <c r="A18" s="49" t="s">
        <v>12</v>
      </c>
      <c r="B18" s="48">
        <f>SUMIFS(tbl_Budget[budget_revenue],tbl_Budget[category],$A18,tbl_Budget[month],i_Setup!$C$10)</f>
        <v>8860.2250000000004</v>
      </c>
      <c r="C18" s="48">
        <f>SUMIFS(tbl_Actuals[revenue],tbl_Actuals[category],$A18, tbl_Actuals[month],i_Setup!$C$10)</f>
        <v>4381.3100000000004</v>
      </c>
      <c r="D18" s="50">
        <f>SUMIFS(tbl_Budget[budget_units],tbl_Budget[category],$A18,tbl_Budget[month],i_Setup!$C$10)</f>
        <v>92.4</v>
      </c>
      <c r="E18" s="50">
        <f>SUMIFS(tbl_Actuals[units], tbl_Actuals[category], $A18, tbl_Actuals[month], i_Setup!$C$10)</f>
        <v>59</v>
      </c>
      <c r="F18" s="48">
        <f>SUMIFS(tbl_Budget[budget_avg_price], tbl_Budget[category], $A18, tbl_Budget[month], i_Setup!$C$10)</f>
        <v>95.889880952380949</v>
      </c>
      <c r="G18" s="48">
        <f>SUMIFS(tbl_Actuals[avg_price], tbl_Actuals[category], $A18, tbl_Actuals[month], i_Setup!$C$10)</f>
        <v>74.259491999999995</v>
      </c>
      <c r="H18" s="48">
        <f t="shared" si="0"/>
        <v>-4478.915</v>
      </c>
      <c r="I18" s="48">
        <f t="shared" si="1"/>
        <v>-1276.1929481904763</v>
      </c>
      <c r="J18" s="48">
        <f t="shared" si="2"/>
        <v>-3202.7220238095242</v>
      </c>
      <c r="K18">
        <f t="shared" si="3"/>
        <v>0</v>
      </c>
      <c r="L18" s="32" t="str">
        <f t="shared" si="4"/>
        <v/>
      </c>
      <c r="M18" s="32" t="str">
        <f>IF(L18="Unbudgeted",IF(H18&gt;=i_Setup!$C$13,"FLAG",""),IF(L18="No Activity","",IF(AND(ABS(H18)&gt;=i_Setup!$C$13,ABS(H18/B18)&gt;=i_Setup!$C$12),"FLAG","")))</f>
        <v/>
      </c>
      <c r="N18" t="str">
        <f>IF(M18="FLAG",COUNTIF($M$2:M18,"FLAG"),"")</f>
        <v/>
      </c>
    </row>
    <row r="19" spans="1:14" x14ac:dyDescent="0.25">
      <c r="A19" s="49" t="s">
        <v>53</v>
      </c>
      <c r="B19" s="48">
        <f>SUMIFS(tbl_Budget[budget_revenue],tbl_Budget[category],$A19,tbl_Budget[month],i_Setup!$C$10)</f>
        <v>1203.5999999999999</v>
      </c>
      <c r="C19" s="48">
        <f>SUMIFS(tbl_Actuals[revenue],tbl_Actuals[category],$A19, tbl_Actuals[month],i_Setup!$C$10)</f>
        <v>22917.16</v>
      </c>
      <c r="D19" s="50">
        <f>SUMIFS(tbl_Budget[budget_units],tbl_Budget[category],$A19,tbl_Budget[month],i_Setup!$C$10)</f>
        <v>7.1400000000000006</v>
      </c>
      <c r="E19" s="50">
        <f>SUMIFS(tbl_Actuals[units], tbl_Actuals[category], $A19, tbl_Actuals[month], i_Setup!$C$10)</f>
        <v>162</v>
      </c>
      <c r="F19" s="48">
        <f>SUMIFS(tbl_Budget[budget_avg_price], tbl_Budget[category], $A19, tbl_Budget[month], i_Setup!$C$10)</f>
        <v>168.57142857142856</v>
      </c>
      <c r="G19" s="48">
        <f>SUMIFS(tbl_Actuals[avg_price], tbl_Actuals[category], $A19, tbl_Actuals[month], i_Setup!$C$10)</f>
        <v>141.46395100000001</v>
      </c>
      <c r="H19" s="48">
        <f t="shared" si="0"/>
        <v>21713.56</v>
      </c>
      <c r="I19" s="48">
        <f t="shared" si="1"/>
        <v>-4391.4113665714249</v>
      </c>
      <c r="J19" s="48">
        <f t="shared" si="2"/>
        <v>26104.971428571429</v>
      </c>
      <c r="K19">
        <f t="shared" si="3"/>
        <v>0</v>
      </c>
      <c r="L19" s="32" t="str">
        <f t="shared" si="4"/>
        <v/>
      </c>
      <c r="M19" s="32" t="str">
        <f>IF(L19="Unbudgeted",IF(H19&gt;=i_Setup!$C$13,"FLAG",""),IF(L19="No Activity","",IF(AND(ABS(H19)&gt;=i_Setup!$C$13,ABS(H19/B19)&gt;=i_Setup!$C$12),"FLAG","")))</f>
        <v>FLAG</v>
      </c>
      <c r="N19">
        <f>IF(M19="FLAG",COUNTIF($M$2:M19,"FLAG"),"")</f>
        <v>3</v>
      </c>
    </row>
    <row r="20" spans="1:14" x14ac:dyDescent="0.25">
      <c r="A20" s="49" t="s">
        <v>75</v>
      </c>
      <c r="B20" s="48">
        <f>SUMIFS(tbl_Budget[budget_revenue],tbl_Budget[category],$A20,tbl_Budget[month],i_Setup!$C$10)</f>
        <v>600.78</v>
      </c>
      <c r="C20" s="48">
        <f>SUMIFS(tbl_Actuals[revenue],tbl_Actuals[category],$A20, tbl_Actuals[month],i_Setup!$C$10)</f>
        <v>8212.5300000000007</v>
      </c>
      <c r="D20" s="50">
        <f>SUMIFS(tbl_Budget[budget_units],tbl_Budget[category],$A20,tbl_Budget[month],i_Setup!$C$10)</f>
        <v>2.04</v>
      </c>
      <c r="E20" s="50">
        <f>SUMIFS(tbl_Actuals[units], tbl_Actuals[category], $A20, tbl_Actuals[month], i_Setup!$C$10)</f>
        <v>62</v>
      </c>
      <c r="F20" s="48">
        <f>SUMIFS(tbl_Budget[budget_avg_price], tbl_Budget[category], $A20, tbl_Budget[month], i_Setup!$C$10)</f>
        <v>294.5</v>
      </c>
      <c r="G20" s="48">
        <f>SUMIFS(tbl_Actuals[avg_price], tbl_Actuals[category], $A20, tbl_Actuals[month], i_Setup!$C$10)</f>
        <v>132.460161</v>
      </c>
      <c r="H20" s="48">
        <f t="shared" si="0"/>
        <v>7611.7500000000009</v>
      </c>
      <c r="I20" s="48">
        <f t="shared" si="1"/>
        <v>-10046.470018</v>
      </c>
      <c r="J20" s="48">
        <f t="shared" si="2"/>
        <v>17658.22</v>
      </c>
      <c r="K20">
        <f t="shared" si="3"/>
        <v>0</v>
      </c>
      <c r="L20" s="32" t="str">
        <f t="shared" si="4"/>
        <v/>
      </c>
      <c r="M20" s="32" t="str">
        <f>IF(L20="Unbudgeted",IF(H20&gt;=i_Setup!$C$13,"FLAG",""),IF(L20="No Activity","",IF(AND(ABS(H20)&gt;=i_Setup!$C$13,ABS(H20/B20)&gt;=i_Setup!$C$12),"FLAG","")))</f>
        <v>FLAG</v>
      </c>
      <c r="N20">
        <f>IF(M20="FLAG",COUNTIF($M$2:M20,"FLAG"),"")</f>
        <v>4</v>
      </c>
    </row>
    <row r="21" spans="1:14" x14ac:dyDescent="0.25">
      <c r="A21" s="49" t="s">
        <v>54</v>
      </c>
      <c r="B21" s="48">
        <f>SUMIFS(tbl_Budget[budget_revenue],tbl_Budget[category],$A21,tbl_Budget[month],i_Setup!$C$10)</f>
        <v>9.0780000000000012</v>
      </c>
      <c r="C21" s="48">
        <f>SUMIFS(tbl_Actuals[revenue],tbl_Actuals[category],$A21, tbl_Actuals[month],i_Setup!$C$10)</f>
        <v>3970.22</v>
      </c>
      <c r="D21" s="50">
        <f>SUMIFS(tbl_Budget[budget_units],tbl_Budget[category],$A21,tbl_Budget[month],i_Setup!$C$10)</f>
        <v>1.02</v>
      </c>
      <c r="E21" s="50">
        <f>SUMIFS(tbl_Actuals[units], tbl_Actuals[category], $A21, tbl_Actuals[month], i_Setup!$C$10)</f>
        <v>25</v>
      </c>
      <c r="F21" s="48">
        <f>SUMIFS(tbl_Budget[budget_avg_price], tbl_Budget[category], $A21, tbl_Budget[month], i_Setup!$C$10)</f>
        <v>8.9</v>
      </c>
      <c r="G21" s="48">
        <f>SUMIFS(tbl_Actuals[avg_price], tbl_Actuals[category], $A21, tbl_Actuals[month], i_Setup!$C$10)</f>
        <v>158.80879999999999</v>
      </c>
      <c r="H21" s="48">
        <f t="shared" si="0"/>
        <v>3961.1419999999998</v>
      </c>
      <c r="I21" s="48">
        <f t="shared" si="1"/>
        <v>3747.72</v>
      </c>
      <c r="J21" s="48">
        <f t="shared" si="2"/>
        <v>213.42200000000003</v>
      </c>
      <c r="K21">
        <f t="shared" si="3"/>
        <v>0</v>
      </c>
      <c r="L21" s="32" t="str">
        <f t="shared" si="4"/>
        <v/>
      </c>
      <c r="M21" s="32" t="str">
        <f>IF(L21="Unbudgeted",IF(H21&gt;=i_Setup!$C$13,"FLAG",""),IF(L21="No Activity","",IF(AND(ABS(H21)&gt;=i_Setup!$C$13,ABS(H21/B21)&gt;=i_Setup!$C$12),"FLAG","")))</f>
        <v/>
      </c>
      <c r="N21" t="str">
        <f>IF(M21="FLAG",COUNTIF($M$2:M21,"FLAG"),"")</f>
        <v/>
      </c>
    </row>
    <row r="22" spans="1:14" x14ac:dyDescent="0.25">
      <c r="A22" s="49" t="s">
        <v>13</v>
      </c>
      <c r="B22" s="48">
        <f>SUMIFS(tbl_Budget[budget_revenue],tbl_Budget[category],$A22,tbl_Budget[month],i_Setup!$C$10)</f>
        <v>40177.735500000003</v>
      </c>
      <c r="C22" s="48">
        <f>SUMIFS(tbl_Actuals[revenue],tbl_Actuals[category],$A22, tbl_Actuals[month],i_Setup!$C$10)</f>
        <v>15794.89</v>
      </c>
      <c r="D22" s="50">
        <f>SUMIFS(tbl_Budget[budget_units],tbl_Budget[category],$A22,tbl_Budget[month],i_Setup!$C$10)</f>
        <v>268.8</v>
      </c>
      <c r="E22" s="50">
        <f>SUMIFS(tbl_Actuals[units], tbl_Actuals[category], $A22, tbl_Actuals[month], i_Setup!$C$10)</f>
        <v>119</v>
      </c>
      <c r="F22" s="48">
        <f>SUMIFS(tbl_Budget[budget_avg_price], tbl_Budget[category], $A22, tbl_Budget[month], i_Setup!$C$10)</f>
        <v>149.47074218750001</v>
      </c>
      <c r="G22" s="48">
        <f>SUMIFS(tbl_Actuals[avg_price], tbl_Actuals[category], $A22, tbl_Actuals[month], i_Setup!$C$10)</f>
        <v>132.73016799999999</v>
      </c>
      <c r="H22" s="48">
        <f t="shared" si="0"/>
        <v>-24382.845500000003</v>
      </c>
      <c r="I22" s="48">
        <f t="shared" si="1"/>
        <v>-1992.1283283125019</v>
      </c>
      <c r="J22" s="48">
        <f t="shared" si="2"/>
        <v>-22390.717179687505</v>
      </c>
      <c r="K22">
        <f t="shared" si="3"/>
        <v>0</v>
      </c>
      <c r="L22" s="32" t="str">
        <f t="shared" si="4"/>
        <v/>
      </c>
      <c r="M22" s="32" t="str">
        <f>IF(L22="Unbudgeted",IF(H22&gt;=i_Setup!$C$13,"FLAG",""),IF(L22="No Activity","",IF(AND(ABS(H22)&gt;=i_Setup!$C$13,ABS(H22/B22)&gt;=i_Setup!$C$12),"FLAG","")))</f>
        <v>FLAG</v>
      </c>
      <c r="N22">
        <f>IF(M22="FLAG",COUNTIF($M$2:M22,"FLAG"),"")</f>
        <v>5</v>
      </c>
    </row>
    <row r="23" spans="1:14" x14ac:dyDescent="0.25">
      <c r="A23" s="49" t="s">
        <v>55</v>
      </c>
      <c r="B23" s="48">
        <f>SUMIFS(tbl_Budget[budget_revenue],tbl_Budget[category],$A23,tbl_Budget[month],i_Setup!$C$10)</f>
        <v>1311.9138</v>
      </c>
      <c r="C23" s="48">
        <f>SUMIFS(tbl_Actuals[revenue],tbl_Actuals[category],$A23, tbl_Actuals[month],i_Setup!$C$10)</f>
        <v>3688.76</v>
      </c>
      <c r="D23" s="50">
        <f>SUMIFS(tbl_Budget[budget_units],tbl_Budget[category],$A23,tbl_Budget[month],i_Setup!$C$10)</f>
        <v>10.199999999999999</v>
      </c>
      <c r="E23" s="50">
        <f>SUMIFS(tbl_Actuals[units], tbl_Actuals[category], $A23, tbl_Actuals[month], i_Setup!$C$10)</f>
        <v>23</v>
      </c>
      <c r="F23" s="48">
        <f>SUMIFS(tbl_Budget[budget_avg_price], tbl_Budget[category], $A23, tbl_Budget[month], i_Setup!$C$10)</f>
        <v>128.619</v>
      </c>
      <c r="G23" s="48">
        <f>SUMIFS(tbl_Actuals[avg_price], tbl_Actuals[category], $A23, tbl_Actuals[month], i_Setup!$C$10)</f>
        <v>160.38086999999999</v>
      </c>
      <c r="H23" s="48">
        <f t="shared" si="0"/>
        <v>2376.8462</v>
      </c>
      <c r="I23" s="48">
        <f t="shared" si="1"/>
        <v>730.52300999999966</v>
      </c>
      <c r="J23" s="48">
        <f t="shared" si="2"/>
        <v>1646.3232</v>
      </c>
      <c r="K23">
        <f t="shared" si="3"/>
        <v>0</v>
      </c>
      <c r="L23" s="32" t="str">
        <f t="shared" si="4"/>
        <v/>
      </c>
      <c r="M23" s="32" t="str">
        <f>IF(L23="Unbudgeted",IF(H23&gt;=i_Setup!$C$13,"FLAG",""),IF(L23="No Activity","",IF(AND(ABS(H23)&gt;=i_Setup!$C$13,ABS(H23/B23)&gt;=i_Setup!$C$12),"FLAG","")))</f>
        <v/>
      </c>
      <c r="N23" t="str">
        <f>IF(M23="FLAG",COUNTIF($M$2:M23,"FLAG"),"")</f>
        <v/>
      </c>
    </row>
    <row r="24" spans="1:14" x14ac:dyDescent="0.25">
      <c r="A24" s="49" t="s">
        <v>67</v>
      </c>
      <c r="B24" s="48">
        <f>SUMIFS(tbl_Budget[budget_revenue],tbl_Budget[category],$A24,tbl_Budget[month],i_Setup!$C$10)</f>
        <v>0</v>
      </c>
      <c r="C24" s="48">
        <f>SUMIFS(tbl_Actuals[revenue],tbl_Actuals[category],$A24, tbl_Actuals[month],i_Setup!$C$10)</f>
        <v>1255.77</v>
      </c>
      <c r="D24" s="50">
        <f>SUMIFS(tbl_Budget[budget_units],tbl_Budget[category],$A24,tbl_Budget[month],i_Setup!$C$10)</f>
        <v>0</v>
      </c>
      <c r="E24" s="50">
        <f>SUMIFS(tbl_Actuals[units], tbl_Actuals[category], $A24, tbl_Actuals[month], i_Setup!$C$10)</f>
        <v>14</v>
      </c>
      <c r="F24" s="48">
        <f>SUMIFS(tbl_Budget[budget_avg_price], tbl_Budget[category], $A24, tbl_Budget[month], i_Setup!$C$10)</f>
        <v>0</v>
      </c>
      <c r="G24" s="48">
        <f>SUMIFS(tbl_Actuals[avg_price], tbl_Actuals[category], $A24, tbl_Actuals[month], i_Setup!$C$10)</f>
        <v>89.697856999999999</v>
      </c>
      <c r="H24" s="48">
        <f t="shared" si="0"/>
        <v>1255.77</v>
      </c>
      <c r="I24" s="48">
        <f t="shared" si="1"/>
        <v>0</v>
      </c>
      <c r="J24" s="48">
        <f t="shared" si="2"/>
        <v>0</v>
      </c>
      <c r="K24" t="str">
        <f t="shared" si="3"/>
        <v/>
      </c>
      <c r="L24" s="32" t="str">
        <f t="shared" si="4"/>
        <v>Unbudgeted</v>
      </c>
      <c r="M24" s="32" t="str">
        <f>IF(L24="Unbudgeted",IF(H24&gt;=i_Setup!$C$13,"FLAG",""),IF(L24="No Activity","",IF(AND(ABS(H24)&gt;=i_Setup!$C$13,ABS(H24/B24)&gt;=i_Setup!$C$12),"FLAG","")))</f>
        <v/>
      </c>
      <c r="N24" t="str">
        <f>IF(M24="FLAG",COUNTIF($M$2:M24,"FLAG"),"")</f>
        <v/>
      </c>
    </row>
    <row r="25" spans="1:14" x14ac:dyDescent="0.25">
      <c r="A25" s="49" t="s">
        <v>14</v>
      </c>
      <c r="B25" s="48">
        <f>SUMIFS(tbl_Budget[budget_revenue],tbl_Budget[category],$A25,tbl_Budget[month],i_Setup!$C$10)</f>
        <v>0</v>
      </c>
      <c r="C25" s="48">
        <f>SUMIFS(tbl_Actuals[revenue],tbl_Actuals[category],$A25, tbl_Actuals[month],i_Setup!$C$10)</f>
        <v>231.89</v>
      </c>
      <c r="D25" s="50">
        <f>SUMIFS(tbl_Budget[budget_units],tbl_Budget[category],$A25,tbl_Budget[month],i_Setup!$C$10)</f>
        <v>0</v>
      </c>
      <c r="E25" s="50">
        <f>SUMIFS(tbl_Actuals[units], tbl_Actuals[category], $A25, tbl_Actuals[month], i_Setup!$C$10)</f>
        <v>3</v>
      </c>
      <c r="F25" s="48">
        <f>SUMIFS(tbl_Budget[budget_avg_price], tbl_Budget[category], $A25, tbl_Budget[month], i_Setup!$C$10)</f>
        <v>0</v>
      </c>
      <c r="G25" s="48">
        <f>SUMIFS(tbl_Actuals[avg_price], tbl_Actuals[category], $A25, tbl_Actuals[month], i_Setup!$C$10)</f>
        <v>77.296666999999999</v>
      </c>
      <c r="H25" s="48">
        <f t="shared" si="0"/>
        <v>231.89</v>
      </c>
      <c r="I25" s="48">
        <f t="shared" si="1"/>
        <v>0</v>
      </c>
      <c r="J25" s="48">
        <f t="shared" si="2"/>
        <v>0</v>
      </c>
      <c r="K25" t="str">
        <f t="shared" si="3"/>
        <v/>
      </c>
      <c r="L25" s="32" t="str">
        <f t="shared" si="4"/>
        <v>Unbudgeted</v>
      </c>
      <c r="M25" s="32" t="str">
        <f>IF(L25="Unbudgeted",IF(H25&gt;=i_Setup!$C$13,"FLAG",""),IF(L25="No Activity","",IF(AND(ABS(H25)&gt;=i_Setup!$C$13,ABS(H25/B25)&gt;=i_Setup!$C$12),"FLAG","")))</f>
        <v/>
      </c>
      <c r="N25" t="str">
        <f>IF(M25="FLAG",COUNTIF($M$2:M25,"FLAG"),"")</f>
        <v/>
      </c>
    </row>
    <row r="26" spans="1:14" x14ac:dyDescent="0.25">
      <c r="A26" s="49" t="s">
        <v>61</v>
      </c>
      <c r="B26" s="48">
        <f>SUMIFS(tbl_Budget[budget_revenue],tbl_Budget[category],$A26,tbl_Budget[month],i_Setup!$C$10)</f>
        <v>125.89500000000001</v>
      </c>
      <c r="C26" s="48">
        <f>SUMIFS(tbl_Actuals[revenue],tbl_Actuals[category],$A26, tbl_Actuals[month],i_Setup!$C$10)</f>
        <v>1423.26</v>
      </c>
      <c r="D26" s="50">
        <f>SUMIFS(tbl_Budget[budget_units],tbl_Budget[category],$A26,tbl_Budget[month],i_Setup!$C$10)</f>
        <v>2.1</v>
      </c>
      <c r="E26" s="50">
        <f>SUMIFS(tbl_Actuals[units], tbl_Actuals[category], $A26, tbl_Actuals[month], i_Setup!$C$10)</f>
        <v>27</v>
      </c>
      <c r="F26" s="48">
        <f>SUMIFS(tbl_Budget[budget_avg_price], tbl_Budget[category], $A26, tbl_Budget[month], i_Setup!$C$10)</f>
        <v>59.95</v>
      </c>
      <c r="G26" s="48">
        <f>SUMIFS(tbl_Actuals[avg_price], tbl_Actuals[category], $A26, tbl_Actuals[month], i_Setup!$C$10)</f>
        <v>52.713332999999999</v>
      </c>
      <c r="H26" s="48">
        <f t="shared" si="0"/>
        <v>1297.365</v>
      </c>
      <c r="I26" s="48">
        <f t="shared" si="1"/>
        <v>-195.39000900000011</v>
      </c>
      <c r="J26" s="48">
        <f t="shared" si="2"/>
        <v>1492.7549999999999</v>
      </c>
      <c r="K26">
        <f t="shared" si="3"/>
        <v>0</v>
      </c>
      <c r="L26" s="32" t="str">
        <f t="shared" si="4"/>
        <v/>
      </c>
      <c r="M26" s="32" t="str">
        <f>IF(L26="Unbudgeted",IF(H26&gt;=i_Setup!$C$13,"FLAG",""),IF(L26="No Activity","",IF(AND(ABS(H26)&gt;=i_Setup!$C$13,ABS(H26/B26)&gt;=i_Setup!$C$12),"FLAG","")))</f>
        <v/>
      </c>
      <c r="N26" t="str">
        <f>IF(M26="FLAG",COUNTIF($M$2:M26,"FLAG"),"")</f>
        <v/>
      </c>
    </row>
    <row r="27" spans="1:14" x14ac:dyDescent="0.25">
      <c r="A27" s="49" t="s">
        <v>38</v>
      </c>
      <c r="B27" s="48">
        <f>SUMIFS(tbl_Budget[budget_revenue],tbl_Budget[category],$A27,tbl_Budget[month],i_Setup!$C$10)</f>
        <v>119.07000000000001</v>
      </c>
      <c r="C27" s="48">
        <f>SUMIFS(tbl_Actuals[revenue],tbl_Actuals[category],$A27, tbl_Actuals[month],i_Setup!$C$10)</f>
        <v>8.9</v>
      </c>
      <c r="D27" s="50">
        <f>SUMIFS(tbl_Budget[budget_units],tbl_Budget[category],$A27,tbl_Budget[month],i_Setup!$C$10)</f>
        <v>6.3000000000000007</v>
      </c>
      <c r="E27" s="50">
        <f>SUMIFS(tbl_Actuals[units], tbl_Actuals[category], $A27, tbl_Actuals[month], i_Setup!$C$10)</f>
        <v>1</v>
      </c>
      <c r="F27" s="48">
        <f>SUMIFS(tbl_Budget[budget_avg_price], tbl_Budget[category], $A27, tbl_Budget[month], i_Setup!$C$10)</f>
        <v>18.899999999999999</v>
      </c>
      <c r="G27" s="48">
        <f>SUMIFS(tbl_Actuals[avg_price], tbl_Actuals[category], $A27, tbl_Actuals[month], i_Setup!$C$10)</f>
        <v>8.9</v>
      </c>
      <c r="H27" s="48">
        <f t="shared" si="0"/>
        <v>-110.17</v>
      </c>
      <c r="I27" s="48">
        <f t="shared" si="1"/>
        <v>-9.9999999999999982</v>
      </c>
      <c r="J27" s="48">
        <f t="shared" si="2"/>
        <v>-100.17</v>
      </c>
      <c r="K27">
        <f t="shared" si="3"/>
        <v>0</v>
      </c>
      <c r="L27" s="32" t="str">
        <f t="shared" si="4"/>
        <v/>
      </c>
      <c r="M27" s="32" t="str">
        <f>IF(L27="Unbudgeted",IF(H27&gt;=i_Setup!$C$13,"FLAG",""),IF(L27="No Activity","",IF(AND(ABS(H27)&gt;=i_Setup!$C$13,ABS(H27/B27)&gt;=i_Setup!$C$12),"FLAG","")))</f>
        <v/>
      </c>
      <c r="N27" t="str">
        <f>IF(M27="FLAG",COUNTIF($M$2:M27,"FLAG"),"")</f>
        <v/>
      </c>
    </row>
    <row r="28" spans="1:14" x14ac:dyDescent="0.25">
      <c r="A28" s="49" t="s">
        <v>15</v>
      </c>
      <c r="B28" s="48">
        <f>SUMIFS(tbl_Budget[budget_revenue],tbl_Budget[category],$A28,tbl_Budget[month],i_Setup!$C$10)</f>
        <v>3139.5650000000005</v>
      </c>
      <c r="C28" s="48">
        <f>SUMIFS(tbl_Actuals[revenue],tbl_Actuals[category],$A28, tbl_Actuals[month],i_Setup!$C$10)</f>
        <v>10739.57</v>
      </c>
      <c r="D28" s="50">
        <f>SUMIFS(tbl_Budget[budget_units],tbl_Budget[category],$A28,tbl_Budget[month],i_Setup!$C$10)</f>
        <v>61.600000000000009</v>
      </c>
      <c r="E28" s="50">
        <f>SUMIFS(tbl_Actuals[units], tbl_Actuals[category], $A28, tbl_Actuals[month], i_Setup!$C$10)</f>
        <v>119</v>
      </c>
      <c r="F28" s="48">
        <f>SUMIFS(tbl_Budget[budget_avg_price], tbl_Budget[category], $A28, tbl_Budget[month], i_Setup!$C$10)</f>
        <v>50.96696428571429</v>
      </c>
      <c r="G28" s="48">
        <f>SUMIFS(tbl_Actuals[avg_price], tbl_Actuals[category], $A28, tbl_Actuals[month], i_Setup!$C$10)</f>
        <v>90.248486999999997</v>
      </c>
      <c r="H28" s="48">
        <f t="shared" si="0"/>
        <v>7600.0049999999992</v>
      </c>
      <c r="I28" s="48">
        <f t="shared" si="1"/>
        <v>4674.5012029999989</v>
      </c>
      <c r="J28" s="48">
        <f t="shared" si="2"/>
        <v>2925.5037499999999</v>
      </c>
      <c r="K28">
        <f t="shared" si="3"/>
        <v>0</v>
      </c>
      <c r="L28" s="32" t="str">
        <f t="shared" si="4"/>
        <v/>
      </c>
      <c r="M28" s="32" t="str">
        <f>IF(L28="Unbudgeted",IF(H28&gt;=i_Setup!$C$13,"FLAG",""),IF(L28="No Activity","",IF(AND(ABS(H28)&gt;=i_Setup!$C$13,ABS(H28/B28)&gt;=i_Setup!$C$12),"FLAG","")))</f>
        <v>FLAG</v>
      </c>
      <c r="N28">
        <f>IF(M28="FLAG",COUNTIF($M$2:M28,"FLAG"),"")</f>
        <v>6</v>
      </c>
    </row>
    <row r="29" spans="1:14" x14ac:dyDescent="0.25">
      <c r="A29" s="49" t="s">
        <v>16</v>
      </c>
      <c r="B29" s="48">
        <f>SUMIFS(tbl_Budget[budget_revenue],tbl_Budget[category],$A29,tbl_Budget[month],i_Setup!$C$10)</f>
        <v>198.13499999999999</v>
      </c>
      <c r="C29" s="48">
        <f>SUMIFS(tbl_Actuals[revenue],tbl_Actuals[category],$A29, tbl_Actuals[month],i_Setup!$C$10)</f>
        <v>129.97</v>
      </c>
      <c r="D29" s="50">
        <f>SUMIFS(tbl_Budget[budget_units],tbl_Budget[category],$A29,tbl_Budget[month],i_Setup!$C$10)</f>
        <v>4.2</v>
      </c>
      <c r="E29" s="50">
        <f>SUMIFS(tbl_Actuals[units], tbl_Actuals[category], $A29, tbl_Actuals[month], i_Setup!$C$10)</f>
        <v>3</v>
      </c>
      <c r="F29" s="48">
        <f>SUMIFS(tbl_Budget[budget_avg_price], tbl_Budget[category], $A29, tbl_Budget[month], i_Setup!$C$10)</f>
        <v>47.174999999999997</v>
      </c>
      <c r="G29" s="48">
        <f>SUMIFS(tbl_Actuals[avg_price], tbl_Actuals[category], $A29, tbl_Actuals[month], i_Setup!$C$10)</f>
        <v>43.323332999999998</v>
      </c>
      <c r="H29" s="48">
        <f t="shared" si="0"/>
        <v>-68.164999999999992</v>
      </c>
      <c r="I29" s="48">
        <f t="shared" si="1"/>
        <v>-11.555000999999997</v>
      </c>
      <c r="J29" s="48">
        <f t="shared" si="2"/>
        <v>-56.610000000000007</v>
      </c>
      <c r="K29">
        <f t="shared" si="3"/>
        <v>0</v>
      </c>
      <c r="L29" s="32" t="str">
        <f t="shared" si="4"/>
        <v/>
      </c>
      <c r="M29" s="32" t="str">
        <f>IF(L29="Unbudgeted",IF(H29&gt;=i_Setup!$C$13,"FLAG",""),IF(L29="No Activity","",IF(AND(ABS(H29)&gt;=i_Setup!$C$13,ABS(H29/B29)&gt;=i_Setup!$C$12),"FLAG","")))</f>
        <v/>
      </c>
      <c r="N29" t="str">
        <f>IF(M29="FLAG",COUNTIF($M$2:M29,"FLAG"),"")</f>
        <v/>
      </c>
    </row>
    <row r="30" spans="1:14" x14ac:dyDescent="0.25">
      <c r="A30" s="49" t="s">
        <v>17</v>
      </c>
      <c r="B30" s="48">
        <f>SUMIFS(tbl_Budget[budget_revenue],tbl_Budget[category],$A30,tbl_Budget[month],i_Setup!$C$10)</f>
        <v>6760.8345000000008</v>
      </c>
      <c r="C30" s="48">
        <f>SUMIFS(tbl_Actuals[revenue],tbl_Actuals[category],$A30, tbl_Actuals[month],i_Setup!$C$10)</f>
        <v>8127.53</v>
      </c>
      <c r="D30" s="50">
        <f>SUMIFS(tbl_Budget[budget_units],tbl_Budget[category],$A30,tbl_Budget[month],i_Setup!$C$10)</f>
        <v>99.75</v>
      </c>
      <c r="E30" s="50">
        <f>SUMIFS(tbl_Actuals[units], tbl_Actuals[category], $A30, tbl_Actuals[month], i_Setup!$C$10)</f>
        <v>126</v>
      </c>
      <c r="F30" s="48">
        <f>SUMIFS(tbl_Budget[budget_avg_price], tbl_Budget[category], $A30, tbl_Budget[month], i_Setup!$C$10)</f>
        <v>67.777789473684223</v>
      </c>
      <c r="G30" s="48">
        <f>SUMIFS(tbl_Actuals[avg_price], tbl_Actuals[category], $A30, tbl_Actuals[month], i_Setup!$C$10)</f>
        <v>64.504205999999996</v>
      </c>
      <c r="H30" s="48">
        <f t="shared" si="0"/>
        <v>1366.6954999999989</v>
      </c>
      <c r="I30" s="48">
        <f t="shared" si="1"/>
        <v>-412.47151768421253</v>
      </c>
      <c r="J30" s="48">
        <f t="shared" si="2"/>
        <v>1779.1669736842109</v>
      </c>
      <c r="K30">
        <f t="shared" si="3"/>
        <v>0</v>
      </c>
      <c r="L30" s="32" t="str">
        <f t="shared" si="4"/>
        <v/>
      </c>
      <c r="M30" s="32" t="str">
        <f>IF(L30="Unbudgeted",IF(H30&gt;=i_Setup!$C$13,"FLAG",""),IF(L30="No Activity","",IF(AND(ABS(H30)&gt;=i_Setup!$C$13,ABS(H30/B30)&gt;=i_Setup!$C$12),"FLAG","")))</f>
        <v/>
      </c>
      <c r="N30" t="str">
        <f>IF(M30="FLAG",COUNTIF($M$2:M30,"FLAG"),"")</f>
        <v/>
      </c>
    </row>
    <row r="31" spans="1:14" x14ac:dyDescent="0.25">
      <c r="A31" s="49" t="s">
        <v>72</v>
      </c>
      <c r="B31" s="48">
        <f>SUMIFS(tbl_Budget[budget_revenue],tbl_Budget[category],$A31,tbl_Budget[month],i_Setup!$C$10)</f>
        <v>0</v>
      </c>
      <c r="C31" s="48">
        <f>SUMIFS(tbl_Actuals[revenue],tbl_Actuals[category],$A31, tbl_Actuals[month],i_Setup!$C$10)</f>
        <v>0</v>
      </c>
      <c r="D31" s="50">
        <f>SUMIFS(tbl_Budget[budget_units],tbl_Budget[category],$A31,tbl_Budget[month],i_Setup!$C$10)</f>
        <v>0</v>
      </c>
      <c r="E31" s="50">
        <f>SUMIFS(tbl_Actuals[units], tbl_Actuals[category], $A31, tbl_Actuals[month], i_Setup!$C$10)</f>
        <v>0</v>
      </c>
      <c r="F31" s="48">
        <f>SUMIFS(tbl_Budget[budget_avg_price], tbl_Budget[category], $A31, tbl_Budget[month], i_Setup!$C$10)</f>
        <v>0</v>
      </c>
      <c r="G31" s="48">
        <f>SUMIFS(tbl_Actuals[avg_price], tbl_Actuals[category], $A31, tbl_Actuals[month], i_Setup!$C$10)</f>
        <v>0</v>
      </c>
      <c r="H31" s="48">
        <f t="shared" si="0"/>
        <v>0</v>
      </c>
      <c r="I31" s="48">
        <f t="shared" si="1"/>
        <v>0</v>
      </c>
      <c r="J31" s="48">
        <f t="shared" si="2"/>
        <v>0</v>
      </c>
      <c r="K31" t="str">
        <f t="shared" si="3"/>
        <v/>
      </c>
      <c r="L31" s="32" t="str">
        <f t="shared" si="4"/>
        <v>No Activity</v>
      </c>
      <c r="M31" s="32" t="str">
        <f>IF(L31="Unbudgeted",IF(H31&gt;=i_Setup!$C$13,"FLAG",""),IF(L31="No Activity","",IF(AND(ABS(H31)&gt;=i_Setup!$C$13,ABS(H31/B31)&gt;=i_Setup!$C$12),"FLAG","")))</f>
        <v/>
      </c>
      <c r="N31" t="str">
        <f>IF(M31="FLAG",COUNTIF($M$2:M31,"FLAG"),"")</f>
        <v/>
      </c>
    </row>
    <row r="32" spans="1:14" x14ac:dyDescent="0.25">
      <c r="A32" s="49" t="s">
        <v>18</v>
      </c>
      <c r="B32" s="48">
        <f>SUMIFS(tbl_Budget[budget_revenue],tbl_Budget[category],$A32,tbl_Budget[month],i_Setup!$C$10)</f>
        <v>1233.8130000000001</v>
      </c>
      <c r="C32" s="48">
        <f>SUMIFS(tbl_Actuals[revenue],tbl_Actuals[category],$A32, tbl_Actuals[month],i_Setup!$C$10)</f>
        <v>381.69</v>
      </c>
      <c r="D32" s="50">
        <f>SUMIFS(tbl_Budget[budget_units],tbl_Budget[category],$A32,tbl_Budget[month],i_Setup!$C$10)</f>
        <v>14.700000000000001</v>
      </c>
      <c r="E32" s="50">
        <f>SUMIFS(tbl_Actuals[units], tbl_Actuals[category], $A32, tbl_Actuals[month], i_Setup!$C$10)</f>
        <v>3</v>
      </c>
      <c r="F32" s="48">
        <f>SUMIFS(tbl_Budget[budget_avg_price], tbl_Budget[category], $A32, tbl_Budget[month], i_Setup!$C$10)</f>
        <v>83.932857142857145</v>
      </c>
      <c r="G32" s="48">
        <f>SUMIFS(tbl_Actuals[avg_price], tbl_Actuals[category], $A32, tbl_Actuals[month], i_Setup!$C$10)</f>
        <v>127.23</v>
      </c>
      <c r="H32" s="48">
        <f t="shared" si="0"/>
        <v>-852.12300000000005</v>
      </c>
      <c r="I32" s="48">
        <f t="shared" si="1"/>
        <v>129.89142857142858</v>
      </c>
      <c r="J32" s="48">
        <f t="shared" si="2"/>
        <v>-982.01442857142865</v>
      </c>
      <c r="K32">
        <f t="shared" si="3"/>
        <v>0</v>
      </c>
      <c r="L32" s="32" t="str">
        <f t="shared" si="4"/>
        <v/>
      </c>
      <c r="M32" s="32" t="str">
        <f>IF(L32="Unbudgeted",IF(H32&gt;=i_Setup!$C$13,"FLAG",""),IF(L32="No Activity","",IF(AND(ABS(H32)&gt;=i_Setup!$C$13,ABS(H32/B32)&gt;=i_Setup!$C$12),"FLAG","")))</f>
        <v/>
      </c>
      <c r="N32" t="str">
        <f>IF(M32="FLAG",COUNTIF($M$2:M32,"FLAG"),"")</f>
        <v/>
      </c>
    </row>
    <row r="33" spans="1:14" x14ac:dyDescent="0.25">
      <c r="A33" s="49" t="s">
        <v>19</v>
      </c>
      <c r="B33" s="48">
        <f>SUMIFS(tbl_Budget[budget_revenue],tbl_Budget[category],$A33,tbl_Budget[month],i_Setup!$C$10)</f>
        <v>1566.2745000000002</v>
      </c>
      <c r="C33" s="48">
        <f>SUMIFS(tbl_Actuals[revenue],tbl_Actuals[category],$A33, tbl_Actuals[month],i_Setup!$C$10)</f>
        <v>471.3</v>
      </c>
      <c r="D33" s="50">
        <f>SUMIFS(tbl_Budget[budget_units],tbl_Budget[category],$A33,tbl_Budget[month],i_Setup!$C$10)</f>
        <v>23.1</v>
      </c>
      <c r="E33" s="50">
        <f>SUMIFS(tbl_Actuals[units], tbl_Actuals[category], $A33, tbl_Actuals[month], i_Setup!$C$10)</f>
        <v>3</v>
      </c>
      <c r="F33" s="48">
        <f>SUMIFS(tbl_Budget[budget_avg_price], tbl_Budget[category], $A33, tbl_Budget[month], i_Setup!$C$10)</f>
        <v>67.804090909090917</v>
      </c>
      <c r="G33" s="48">
        <f>SUMIFS(tbl_Actuals[avg_price], tbl_Actuals[category], $A33, tbl_Actuals[month], i_Setup!$C$10)</f>
        <v>157.1</v>
      </c>
      <c r="H33" s="48">
        <f t="shared" si="0"/>
        <v>-1094.9745000000003</v>
      </c>
      <c r="I33" s="48">
        <f t="shared" si="1"/>
        <v>267.88772727272726</v>
      </c>
      <c r="J33" s="48">
        <f t="shared" si="2"/>
        <v>-1362.8622272727275</v>
      </c>
      <c r="K33">
        <f t="shared" si="3"/>
        <v>0</v>
      </c>
      <c r="L33" s="32" t="str">
        <f t="shared" si="4"/>
        <v/>
      </c>
      <c r="M33" s="32" t="str">
        <f>IF(L33="Unbudgeted",IF(H33&gt;=i_Setup!$C$13,"FLAG",""),IF(L33="No Activity","",IF(AND(ABS(H33)&gt;=i_Setup!$C$13,ABS(H33/B33)&gt;=i_Setup!$C$12),"FLAG","")))</f>
        <v/>
      </c>
      <c r="N33" t="str">
        <f>IF(M33="FLAG",COUNTIF($M$2:M33,"FLAG"),"")</f>
        <v/>
      </c>
    </row>
    <row r="34" spans="1:14" x14ac:dyDescent="0.25">
      <c r="A34" s="49" t="s">
        <v>62</v>
      </c>
      <c r="B34" s="48">
        <f>SUMIFS(tbl_Budget[budget_revenue],tbl_Budget[category],$A34,tbl_Budget[month],i_Setup!$C$10)</f>
        <v>279.09000000000003</v>
      </c>
      <c r="C34" s="48">
        <f>SUMIFS(tbl_Actuals[revenue],tbl_Actuals[category],$A34, tbl_Actuals[month],i_Setup!$C$10)</f>
        <v>69.900000000000006</v>
      </c>
      <c r="D34" s="50">
        <f>SUMIFS(tbl_Budget[budget_units],tbl_Budget[category],$A34,tbl_Budget[month],i_Setup!$C$10)</f>
        <v>2.1</v>
      </c>
      <c r="E34" s="50">
        <f>SUMIFS(tbl_Actuals[units], tbl_Actuals[category], $A34, tbl_Actuals[month], i_Setup!$C$10)</f>
        <v>1</v>
      </c>
      <c r="F34" s="48">
        <f>SUMIFS(tbl_Budget[budget_avg_price], tbl_Budget[category], $A34, tbl_Budget[month], i_Setup!$C$10)</f>
        <v>132.9</v>
      </c>
      <c r="G34" s="48">
        <f>SUMIFS(tbl_Actuals[avg_price], tbl_Actuals[category], $A34, tbl_Actuals[month], i_Setup!$C$10)</f>
        <v>69.900000000000006</v>
      </c>
      <c r="H34" s="48">
        <f t="shared" si="0"/>
        <v>-209.19000000000003</v>
      </c>
      <c r="I34" s="48">
        <f t="shared" si="1"/>
        <v>-63</v>
      </c>
      <c r="J34" s="48">
        <f t="shared" si="2"/>
        <v>-146.19000000000003</v>
      </c>
      <c r="K34">
        <f t="shared" si="3"/>
        <v>0</v>
      </c>
      <c r="L34" s="32" t="str">
        <f t="shared" si="4"/>
        <v/>
      </c>
      <c r="M34" s="32" t="str">
        <f>IF(L34="Unbudgeted",IF(H34&gt;=i_Setup!$C$13,"FLAG",""),IF(L34="No Activity","",IF(AND(ABS(H34)&gt;=i_Setup!$C$13,ABS(H34/B34)&gt;=i_Setup!$C$12),"FLAG","")))</f>
        <v/>
      </c>
      <c r="N34" t="str">
        <f>IF(M34="FLAG",COUNTIF($M$2:M34,"FLAG"),"")</f>
        <v/>
      </c>
    </row>
    <row r="35" spans="1:14" x14ac:dyDescent="0.25">
      <c r="A35" s="49" t="s">
        <v>39</v>
      </c>
      <c r="B35" s="48">
        <f>SUMIFS(tbl_Budget[budget_revenue],tbl_Budget[category],$A35,tbl_Budget[month],i_Setup!$C$10)</f>
        <v>1166.55</v>
      </c>
      <c r="C35" s="48">
        <f>SUMIFS(tbl_Actuals[revenue],tbl_Actuals[category],$A35, tbl_Actuals[month],i_Setup!$C$10)</f>
        <v>160</v>
      </c>
      <c r="D35" s="50">
        <f>SUMIFS(tbl_Budget[budget_units],tbl_Budget[category],$A35,tbl_Budget[month],i_Setup!$C$10)</f>
        <v>13.65</v>
      </c>
      <c r="E35" s="50">
        <f>SUMIFS(tbl_Actuals[units], tbl_Actuals[category], $A35, tbl_Actuals[month], i_Setup!$C$10)</f>
        <v>1</v>
      </c>
      <c r="F35" s="48">
        <f>SUMIFS(tbl_Budget[budget_avg_price], tbl_Budget[category], $A35, tbl_Budget[month], i_Setup!$C$10)</f>
        <v>85.461538461538453</v>
      </c>
      <c r="G35" s="48">
        <f>SUMIFS(tbl_Actuals[avg_price], tbl_Actuals[category], $A35, tbl_Actuals[month], i_Setup!$C$10)</f>
        <v>160</v>
      </c>
      <c r="H35" s="48">
        <f t="shared" si="0"/>
        <v>-1006.55</v>
      </c>
      <c r="I35" s="48">
        <f t="shared" si="1"/>
        <v>74.538461538461547</v>
      </c>
      <c r="J35" s="48">
        <f t="shared" si="2"/>
        <v>-1081.0884615384614</v>
      </c>
      <c r="K35">
        <f t="shared" si="3"/>
        <v>0</v>
      </c>
      <c r="L35" s="32" t="str">
        <f t="shared" si="4"/>
        <v/>
      </c>
      <c r="M35" s="32" t="str">
        <f>IF(L35="Unbudgeted",IF(H35&gt;=i_Setup!$C$13,"FLAG",""),IF(L35="No Activity","",IF(AND(ABS(H35)&gt;=i_Setup!$C$13,ABS(H35/B35)&gt;=i_Setup!$C$12),"FLAG","")))</f>
        <v/>
      </c>
      <c r="N35" t="str">
        <f>IF(M35="FLAG",COUNTIF($M$2:M35,"FLAG"),"")</f>
        <v/>
      </c>
    </row>
    <row r="36" spans="1:14" x14ac:dyDescent="0.25">
      <c r="A36" s="49" t="s">
        <v>20</v>
      </c>
      <c r="B36" s="48">
        <f>SUMIFS(tbl_Budget[budget_revenue],tbl_Budget[category],$A36,tbl_Budget[month],i_Setup!$C$10)</f>
        <v>3510.7170000000001</v>
      </c>
      <c r="C36" s="48">
        <f>SUMIFS(tbl_Actuals[revenue],tbl_Actuals[category],$A36, tbl_Actuals[month],i_Setup!$C$10)</f>
        <v>2724.17</v>
      </c>
      <c r="D36" s="50">
        <f>SUMIFS(tbl_Budget[budget_units],tbl_Budget[category],$A36,tbl_Budget[month],i_Setup!$C$10)</f>
        <v>21</v>
      </c>
      <c r="E36" s="50">
        <f>SUMIFS(tbl_Actuals[units], tbl_Actuals[category], $A36, tbl_Actuals[month], i_Setup!$C$10)</f>
        <v>10</v>
      </c>
      <c r="F36" s="48">
        <f>SUMIFS(tbl_Budget[budget_avg_price], tbl_Budget[category], $A36, tbl_Budget[month], i_Setup!$C$10)</f>
        <v>167.17699999999999</v>
      </c>
      <c r="G36" s="48">
        <f>SUMIFS(tbl_Actuals[avg_price], tbl_Actuals[category], $A36, tbl_Actuals[month], i_Setup!$C$10)</f>
        <v>272.41699999999997</v>
      </c>
      <c r="H36" s="48">
        <f t="shared" si="0"/>
        <v>-786.54700000000003</v>
      </c>
      <c r="I36" s="48">
        <f t="shared" si="1"/>
        <v>1052.3999999999999</v>
      </c>
      <c r="J36" s="48">
        <f t="shared" si="2"/>
        <v>-1838.9469999999999</v>
      </c>
      <c r="K36">
        <f t="shared" si="3"/>
        <v>0</v>
      </c>
      <c r="L36" s="32" t="str">
        <f t="shared" si="4"/>
        <v/>
      </c>
      <c r="M36" s="32" t="str">
        <f>IF(L36="Unbudgeted",IF(H36&gt;=i_Setup!$C$13,"FLAG",""),IF(L36="No Activity","",IF(AND(ABS(H36)&gt;=i_Setup!$C$13,ABS(H36/B36)&gt;=i_Setup!$C$12),"FLAG","")))</f>
        <v/>
      </c>
      <c r="N36" t="str">
        <f>IF(M36="FLAG",COUNTIF($M$2:M36,"FLAG"),"")</f>
        <v/>
      </c>
    </row>
    <row r="37" spans="1:14" x14ac:dyDescent="0.25">
      <c r="A37" s="49" t="s">
        <v>77</v>
      </c>
      <c r="B37" s="48">
        <f>SUMIFS(tbl_Budget[budget_revenue],tbl_Budget[category],$A37,tbl_Budget[month],i_Setup!$C$10)</f>
        <v>0</v>
      </c>
      <c r="C37" s="48">
        <f>SUMIFS(tbl_Actuals[revenue],tbl_Actuals[category],$A37, tbl_Actuals[month],i_Setup!$C$10)</f>
        <v>0</v>
      </c>
      <c r="D37" s="50">
        <f>SUMIFS(tbl_Budget[budget_units],tbl_Budget[category],$A37,tbl_Budget[month],i_Setup!$C$10)</f>
        <v>0</v>
      </c>
      <c r="E37" s="50">
        <f>SUMIFS(tbl_Actuals[units], tbl_Actuals[category], $A37, tbl_Actuals[month], i_Setup!$C$10)</f>
        <v>0</v>
      </c>
      <c r="F37" s="48">
        <f>SUMIFS(tbl_Budget[budget_avg_price], tbl_Budget[category], $A37, tbl_Budget[month], i_Setup!$C$10)</f>
        <v>0</v>
      </c>
      <c r="G37" s="48">
        <f>SUMIFS(tbl_Actuals[avg_price], tbl_Actuals[category], $A37, tbl_Actuals[month], i_Setup!$C$10)</f>
        <v>0</v>
      </c>
      <c r="H37" s="48">
        <f t="shared" si="0"/>
        <v>0</v>
      </c>
      <c r="I37" s="48">
        <f t="shared" si="1"/>
        <v>0</v>
      </c>
      <c r="J37" s="48">
        <f t="shared" si="2"/>
        <v>0</v>
      </c>
      <c r="K37" t="str">
        <f t="shared" si="3"/>
        <v/>
      </c>
      <c r="L37" s="32" t="str">
        <f t="shared" si="4"/>
        <v>No Activity</v>
      </c>
      <c r="M37" s="32" t="str">
        <f>IF(L37="Unbudgeted",IF(H37&gt;=i_Setup!$C$13,"FLAG",""),IF(L37="No Activity","",IF(AND(ABS(H37)&gt;=i_Setup!$C$13,ABS(H37/B37)&gt;=i_Setup!$C$12),"FLAG","")))</f>
        <v/>
      </c>
      <c r="N37" t="str">
        <f>IF(M37="FLAG",COUNTIF($M$2:M37,"FLAG"),"")</f>
        <v/>
      </c>
    </row>
    <row r="38" spans="1:14" x14ac:dyDescent="0.25">
      <c r="A38" s="49" t="s">
        <v>21</v>
      </c>
      <c r="B38" s="48">
        <f>SUMIFS(tbl_Budget[budget_revenue],tbl_Budget[category],$A38,tbl_Budget[month],i_Setup!$C$10)</f>
        <v>382.72500000000002</v>
      </c>
      <c r="C38" s="48">
        <f>SUMIFS(tbl_Actuals[revenue],tbl_Actuals[category],$A38, tbl_Actuals[month],i_Setup!$C$10)</f>
        <v>8174.18</v>
      </c>
      <c r="D38" s="50">
        <f>SUMIFS(tbl_Budget[budget_units],tbl_Budget[category],$A38,tbl_Budget[month],i_Setup!$C$10)</f>
        <v>8.4</v>
      </c>
      <c r="E38" s="50">
        <f>SUMIFS(tbl_Actuals[units], tbl_Actuals[category], $A38, tbl_Actuals[month], i_Setup!$C$10)</f>
        <v>115</v>
      </c>
      <c r="F38" s="48">
        <f>SUMIFS(tbl_Budget[budget_avg_price], tbl_Budget[category], $A38, tbl_Budget[month], i_Setup!$C$10)</f>
        <v>45.5625</v>
      </c>
      <c r="G38" s="48">
        <f>SUMIFS(tbl_Actuals[avg_price], tbl_Actuals[category], $A38, tbl_Actuals[month], i_Setup!$C$10)</f>
        <v>71.079825999999997</v>
      </c>
      <c r="H38" s="48">
        <f t="shared" si="0"/>
        <v>7791.4549999999999</v>
      </c>
      <c r="I38" s="48">
        <f t="shared" si="1"/>
        <v>2934.4924899999996</v>
      </c>
      <c r="J38" s="48">
        <f t="shared" si="2"/>
        <v>4856.9624999999996</v>
      </c>
      <c r="K38">
        <f t="shared" si="3"/>
        <v>0</v>
      </c>
      <c r="L38" s="32" t="str">
        <f t="shared" si="4"/>
        <v/>
      </c>
      <c r="M38" s="32" t="str">
        <f>IF(L38="Unbudgeted",IF(H38&gt;=i_Setup!$C$13,"FLAG",""),IF(L38="No Activity","",IF(AND(ABS(H38)&gt;=i_Setup!$C$13,ABS(H38/B38)&gt;=i_Setup!$C$12),"FLAG","")))</f>
        <v>FLAG</v>
      </c>
      <c r="N38">
        <f>IF(M38="FLAG",COUNTIF($M$2:M38,"FLAG"),"")</f>
        <v>7</v>
      </c>
    </row>
    <row r="39" spans="1:14" x14ac:dyDescent="0.25">
      <c r="A39" s="49" t="s">
        <v>63</v>
      </c>
      <c r="B39" s="48">
        <f>SUMIFS(tbl_Budget[budget_revenue],tbl_Budget[category],$A39,tbl_Budget[month],i_Setup!$C$10)</f>
        <v>519.55050000000006</v>
      </c>
      <c r="C39" s="48">
        <f>SUMIFS(tbl_Actuals[revenue],tbl_Actuals[category],$A39, tbl_Actuals[month],i_Setup!$C$10)</f>
        <v>1028.6099999999999</v>
      </c>
      <c r="D39" s="50">
        <f>SUMIFS(tbl_Budget[budget_units],tbl_Budget[category],$A39,tbl_Budget[month],i_Setup!$C$10)</f>
        <v>15.75</v>
      </c>
      <c r="E39" s="50">
        <f>SUMIFS(tbl_Actuals[units], tbl_Actuals[category], $A39, tbl_Actuals[month], i_Setup!$C$10)</f>
        <v>21</v>
      </c>
      <c r="F39" s="48">
        <f>SUMIFS(tbl_Budget[budget_avg_price], tbl_Budget[category], $A39, tbl_Budget[month], i_Setup!$C$10)</f>
        <v>32.987333333333339</v>
      </c>
      <c r="G39" s="48">
        <f>SUMIFS(tbl_Actuals[avg_price], tbl_Actuals[category], $A39, tbl_Actuals[month], i_Setup!$C$10)</f>
        <v>48.981428999999999</v>
      </c>
      <c r="H39" s="48">
        <f t="shared" si="0"/>
        <v>509.05949999999984</v>
      </c>
      <c r="I39" s="48">
        <f t="shared" si="1"/>
        <v>335.87600899999984</v>
      </c>
      <c r="J39" s="48">
        <f t="shared" si="2"/>
        <v>173.18350000000004</v>
      </c>
      <c r="K39">
        <f t="shared" si="3"/>
        <v>0</v>
      </c>
      <c r="L39" s="32" t="str">
        <f t="shared" si="4"/>
        <v/>
      </c>
      <c r="M39" s="32" t="str">
        <f>IF(L39="Unbudgeted",IF(H39&gt;=i_Setup!$C$13,"FLAG",""),IF(L39="No Activity","",IF(AND(ABS(H39)&gt;=i_Setup!$C$13,ABS(H39/B39)&gt;=i_Setup!$C$12),"FLAG","")))</f>
        <v/>
      </c>
      <c r="N39" t="str">
        <f>IF(M39="FLAG",COUNTIF($M$2:M39,"FLAG"),"")</f>
        <v/>
      </c>
    </row>
    <row r="40" spans="1:14" x14ac:dyDescent="0.25">
      <c r="A40" s="49" t="s">
        <v>40</v>
      </c>
      <c r="B40" s="48">
        <f>SUMIFS(tbl_Budget[budget_revenue],tbl_Budget[category],$A40,tbl_Budget[month],i_Setup!$C$10)</f>
        <v>630.36</v>
      </c>
      <c r="C40" s="48">
        <f>SUMIFS(tbl_Actuals[revenue],tbl_Actuals[category],$A40, tbl_Actuals[month],i_Setup!$C$10)</f>
        <v>2197</v>
      </c>
      <c r="D40" s="50">
        <f>SUMIFS(tbl_Budget[budget_units],tbl_Budget[category],$A40,tbl_Budget[month],i_Setup!$C$10)</f>
        <v>3.06</v>
      </c>
      <c r="E40" s="50">
        <f>SUMIFS(tbl_Actuals[units], tbl_Actuals[category], $A40, tbl_Actuals[month], i_Setup!$C$10)</f>
        <v>12</v>
      </c>
      <c r="F40" s="48">
        <f>SUMIFS(tbl_Budget[budget_avg_price], tbl_Budget[category], $A40, tbl_Budget[month], i_Setup!$C$10)</f>
        <v>206</v>
      </c>
      <c r="G40" s="48">
        <f>SUMIFS(tbl_Actuals[avg_price], tbl_Actuals[category], $A40, tbl_Actuals[month], i_Setup!$C$10)</f>
        <v>183.08333300000001</v>
      </c>
      <c r="H40" s="48">
        <f t="shared" si="0"/>
        <v>1566.6399999999999</v>
      </c>
      <c r="I40" s="48">
        <f t="shared" si="1"/>
        <v>-275.00000399999988</v>
      </c>
      <c r="J40" s="48">
        <f t="shared" si="2"/>
        <v>1841.6399999999999</v>
      </c>
      <c r="K40">
        <f t="shared" si="3"/>
        <v>0</v>
      </c>
      <c r="L40" s="32" t="str">
        <f t="shared" si="4"/>
        <v/>
      </c>
      <c r="M40" s="32" t="str">
        <f>IF(L40="Unbudgeted",IF(H40&gt;=i_Setup!$C$13,"FLAG",""),IF(L40="No Activity","",IF(AND(ABS(H40)&gt;=i_Setup!$C$13,ABS(H40/B40)&gt;=i_Setup!$C$12),"FLAG","")))</f>
        <v/>
      </c>
      <c r="N40" t="str">
        <f>IF(M40="FLAG",COUNTIF($M$2:M40,"FLAG"),"")</f>
        <v/>
      </c>
    </row>
    <row r="41" spans="1:14" x14ac:dyDescent="0.25">
      <c r="A41" s="49" t="s">
        <v>22</v>
      </c>
      <c r="B41" s="48">
        <f>SUMIFS(tbl_Budget[budget_revenue],tbl_Budget[category],$A41,tbl_Budget[month],i_Setup!$C$10)</f>
        <v>34267.807800000002</v>
      </c>
      <c r="C41" s="48">
        <f>SUMIFS(tbl_Actuals[revenue],tbl_Actuals[category],$A41, tbl_Actuals[month],i_Setup!$C$10)</f>
        <v>41168.550000000003</v>
      </c>
      <c r="D41" s="50">
        <f>SUMIFS(tbl_Budget[budget_units],tbl_Budget[category],$A41,tbl_Budget[month],i_Setup!$C$10)</f>
        <v>434.52</v>
      </c>
      <c r="E41" s="50">
        <f>SUMIFS(tbl_Actuals[units], tbl_Actuals[category], $A41, tbl_Actuals[month], i_Setup!$C$10)</f>
        <v>430</v>
      </c>
      <c r="F41" s="48">
        <f>SUMIFS(tbl_Budget[budget_avg_price], tbl_Budget[category], $A41, tbl_Budget[month], i_Setup!$C$10)</f>
        <v>78.863591549295776</v>
      </c>
      <c r="G41" s="48">
        <f>SUMIFS(tbl_Actuals[avg_price], tbl_Actuals[category], $A41, tbl_Actuals[month], i_Setup!$C$10)</f>
        <v>95.740814</v>
      </c>
      <c r="H41" s="48">
        <f t="shared" si="0"/>
        <v>6900.7422000000006</v>
      </c>
      <c r="I41" s="48">
        <f t="shared" si="1"/>
        <v>7257.2056538028164</v>
      </c>
      <c r="J41" s="48">
        <f t="shared" si="2"/>
        <v>-356.46343380281547</v>
      </c>
      <c r="K41">
        <f t="shared" si="3"/>
        <v>0</v>
      </c>
      <c r="L41" s="32" t="str">
        <f t="shared" si="4"/>
        <v/>
      </c>
      <c r="M41" s="32" t="str">
        <f>IF(L41="Unbudgeted",IF(H41&gt;=i_Setup!$C$13,"FLAG",""),IF(L41="No Activity","",IF(AND(ABS(H41)&gt;=i_Setup!$C$13,ABS(H41/B41)&gt;=i_Setup!$C$12),"FLAG","")))</f>
        <v>FLAG</v>
      </c>
      <c r="N41">
        <f>IF(M41="FLAG",COUNTIF($M$2:M41,"FLAG"),"")</f>
        <v>8</v>
      </c>
    </row>
    <row r="42" spans="1:14" x14ac:dyDescent="0.25">
      <c r="A42" s="49" t="s">
        <v>41</v>
      </c>
      <c r="B42" s="48">
        <f>SUMIFS(tbl_Budget[budget_revenue],tbl_Budget[category],$A42,tbl_Budget[month],i_Setup!$C$10)</f>
        <v>2527.6314000000002</v>
      </c>
      <c r="C42" s="48">
        <f>SUMIFS(tbl_Actuals[revenue],tbl_Actuals[category],$A42, tbl_Actuals[month],i_Setup!$C$10)</f>
        <v>5223.34</v>
      </c>
      <c r="D42" s="50">
        <f>SUMIFS(tbl_Budget[budget_units],tbl_Budget[category],$A42,tbl_Budget[month],i_Setup!$C$10)</f>
        <v>23.46</v>
      </c>
      <c r="E42" s="50">
        <f>SUMIFS(tbl_Actuals[units], tbl_Actuals[category], $A42, tbl_Actuals[month], i_Setup!$C$10)</f>
        <v>40</v>
      </c>
      <c r="F42" s="48">
        <f>SUMIFS(tbl_Budget[budget_avg_price], tbl_Budget[category], $A42, tbl_Budget[month], i_Setup!$C$10)</f>
        <v>107.74217391304349</v>
      </c>
      <c r="G42" s="48">
        <f>SUMIFS(tbl_Actuals[avg_price], tbl_Actuals[category], $A42, tbl_Actuals[month], i_Setup!$C$10)</f>
        <v>130.58349999999999</v>
      </c>
      <c r="H42" s="48">
        <f t="shared" si="0"/>
        <v>2695.7085999999999</v>
      </c>
      <c r="I42" s="48">
        <f t="shared" si="1"/>
        <v>913.65304347825997</v>
      </c>
      <c r="J42" s="48">
        <f t="shared" si="2"/>
        <v>1782.0555565217392</v>
      </c>
      <c r="K42">
        <f t="shared" si="3"/>
        <v>0</v>
      </c>
      <c r="L42" s="32" t="str">
        <f t="shared" si="4"/>
        <v/>
      </c>
      <c r="M42" s="32" t="str">
        <f>IF(L42="Unbudgeted",IF(H42&gt;=i_Setup!$C$13,"FLAG",""),IF(L42="No Activity","",IF(AND(ABS(H42)&gt;=i_Setup!$C$13,ABS(H42/B42)&gt;=i_Setup!$C$12),"FLAG","")))</f>
        <v/>
      </c>
      <c r="N42" t="str">
        <f>IF(M42="FLAG",COUNTIF($M$2:M42,"FLAG"),"")</f>
        <v/>
      </c>
    </row>
    <row r="43" spans="1:14" x14ac:dyDescent="0.25">
      <c r="A43" s="49" t="s">
        <v>68</v>
      </c>
      <c r="B43" s="48">
        <f>SUMIFS(tbl_Budget[budget_revenue],tbl_Budget[category],$A43,tbl_Budget[month],i_Setup!$C$10)</f>
        <v>0</v>
      </c>
      <c r="C43" s="48">
        <f>SUMIFS(tbl_Actuals[revenue],tbl_Actuals[category],$A43, tbl_Actuals[month],i_Setup!$C$10)</f>
        <v>0</v>
      </c>
      <c r="D43" s="50">
        <f>SUMIFS(tbl_Budget[budget_units],tbl_Budget[category],$A43,tbl_Budget[month],i_Setup!$C$10)</f>
        <v>0</v>
      </c>
      <c r="E43" s="50">
        <f>SUMIFS(tbl_Actuals[units], tbl_Actuals[category], $A43, tbl_Actuals[month], i_Setup!$C$10)</f>
        <v>0</v>
      </c>
      <c r="F43" s="48">
        <f>SUMIFS(tbl_Budget[budget_avg_price], tbl_Budget[category], $A43, tbl_Budget[month], i_Setup!$C$10)</f>
        <v>0</v>
      </c>
      <c r="G43" s="48">
        <f>SUMIFS(tbl_Actuals[avg_price], tbl_Actuals[category], $A43, tbl_Actuals[month], i_Setup!$C$10)</f>
        <v>0</v>
      </c>
      <c r="H43" s="48">
        <f t="shared" si="0"/>
        <v>0</v>
      </c>
      <c r="I43" s="48">
        <f t="shared" si="1"/>
        <v>0</v>
      </c>
      <c r="J43" s="48">
        <f t="shared" si="2"/>
        <v>0</v>
      </c>
      <c r="K43" t="str">
        <f t="shared" si="3"/>
        <v/>
      </c>
      <c r="L43" s="32" t="str">
        <f t="shared" si="4"/>
        <v>No Activity</v>
      </c>
      <c r="M43" s="32" t="str">
        <f>IF(L43="Unbudgeted",IF(H43&gt;=i_Setup!$C$13,"FLAG",""),IF(L43="No Activity","",IF(AND(ABS(H43)&gt;=i_Setup!$C$13,ABS(H43/B43)&gt;=i_Setup!$C$12),"FLAG","")))</f>
        <v/>
      </c>
      <c r="N43" t="str">
        <f>IF(M43="FLAG",COUNTIF($M$2:M43,"FLAG"),"")</f>
        <v/>
      </c>
    </row>
    <row r="44" spans="1:14" x14ac:dyDescent="0.25">
      <c r="A44" s="49" t="s">
        <v>23</v>
      </c>
      <c r="B44" s="48">
        <f>SUMIFS(tbl_Budget[budget_revenue],tbl_Budget[category],$A44,tbl_Budget[month],i_Setup!$C$10)</f>
        <v>23379.348600000001</v>
      </c>
      <c r="C44" s="48">
        <f>SUMIFS(tbl_Actuals[revenue],tbl_Actuals[category],$A44, tbl_Actuals[month],i_Setup!$C$10)</f>
        <v>16314.7</v>
      </c>
      <c r="D44" s="50">
        <f>SUMIFS(tbl_Budget[budget_units],tbl_Budget[category],$A44,tbl_Budget[month],i_Setup!$C$10)</f>
        <v>237.66</v>
      </c>
      <c r="E44" s="50">
        <f>SUMIFS(tbl_Actuals[units], tbl_Actuals[category], $A44, tbl_Actuals[month], i_Setup!$C$10)</f>
        <v>136</v>
      </c>
      <c r="F44" s="48">
        <f>SUMIFS(tbl_Budget[budget_avg_price], tbl_Budget[category], $A44, tbl_Budget[month], i_Setup!$C$10)</f>
        <v>98.373090128755365</v>
      </c>
      <c r="G44" s="48">
        <f>SUMIFS(tbl_Actuals[avg_price], tbl_Actuals[category], $A44, tbl_Actuals[month], i_Setup!$C$10)</f>
        <v>119.961029</v>
      </c>
      <c r="H44" s="48">
        <f t="shared" si="0"/>
        <v>-7064.6486000000004</v>
      </c>
      <c r="I44" s="48">
        <f t="shared" si="1"/>
        <v>2935.9596864892701</v>
      </c>
      <c r="J44" s="48">
        <f t="shared" si="2"/>
        <v>-10000.608342489269</v>
      </c>
      <c r="K44">
        <f t="shared" si="3"/>
        <v>0</v>
      </c>
      <c r="L44" s="32" t="str">
        <f t="shared" si="4"/>
        <v/>
      </c>
      <c r="M44" s="32" t="str">
        <f>IF(L44="Unbudgeted",IF(H44&gt;=i_Setup!$C$13,"FLAG",""),IF(L44="No Activity","",IF(AND(ABS(H44)&gt;=i_Setup!$C$13,ABS(H44/B44)&gt;=i_Setup!$C$12),"FLAG","")))</f>
        <v>FLAG</v>
      </c>
      <c r="N44">
        <f>IF(M44="FLAG",COUNTIF($M$2:M44,"FLAG"),"")</f>
        <v>9</v>
      </c>
    </row>
    <row r="45" spans="1:14" x14ac:dyDescent="0.25">
      <c r="A45" s="49" t="s">
        <v>5</v>
      </c>
      <c r="B45" s="48">
        <f>SUMIFS(tbl_Budget[budget_revenue],tbl_Budget[category],$A45,tbl_Budget[month],i_Setup!$C$10)</f>
        <v>51481.741500000004</v>
      </c>
      <c r="C45" s="48">
        <f>SUMIFS(tbl_Actuals[revenue],tbl_Actuals[category],$A45, tbl_Actuals[month],i_Setup!$C$10)</f>
        <v>119391.01</v>
      </c>
      <c r="D45" s="50">
        <f>SUMIFS(tbl_Budget[budget_units],tbl_Budget[category],$A45,tbl_Budget[month],i_Setup!$C$10)</f>
        <v>369.6</v>
      </c>
      <c r="E45" s="50">
        <f>SUMIFS(tbl_Actuals[units], tbl_Actuals[category], $A45, tbl_Actuals[month], i_Setup!$C$10)</f>
        <v>835</v>
      </c>
      <c r="F45" s="48">
        <f>SUMIFS(tbl_Budget[budget_avg_price], tbl_Budget[category], $A45, tbl_Budget[month], i_Setup!$C$10)</f>
        <v>139.29042613636364</v>
      </c>
      <c r="G45" s="48">
        <f>SUMIFS(tbl_Actuals[avg_price], tbl_Actuals[category], $A45, tbl_Actuals[month], i_Setup!$C$10)</f>
        <v>142.98324600000001</v>
      </c>
      <c r="H45" s="48">
        <f t="shared" si="0"/>
        <v>67909.268499999991</v>
      </c>
      <c r="I45" s="48">
        <f t="shared" si="1"/>
        <v>3083.5045861363715</v>
      </c>
      <c r="J45" s="48">
        <f t="shared" si="2"/>
        <v>64825.76432386363</v>
      </c>
      <c r="K45">
        <f t="shared" si="3"/>
        <v>0</v>
      </c>
      <c r="L45" s="32" t="str">
        <f t="shared" si="4"/>
        <v/>
      </c>
      <c r="M45" s="32" t="str">
        <f>IF(L45="Unbudgeted",IF(H45&gt;=i_Setup!$C$13,"FLAG",""),IF(L45="No Activity","",IF(AND(ABS(H45)&gt;=i_Setup!$C$13,ABS(H45/B45)&gt;=i_Setup!$C$12),"FLAG","")))</f>
        <v>FLAG</v>
      </c>
      <c r="N45">
        <f>IF(M45="FLAG",COUNTIF($M$2:M45,"FLAG"),"")</f>
        <v>10</v>
      </c>
    </row>
    <row r="46" spans="1:14" x14ac:dyDescent="0.25">
      <c r="A46" s="49" t="s">
        <v>56</v>
      </c>
      <c r="B46" s="48">
        <f>SUMIFS(tbl_Budget[budget_revenue],tbl_Budget[category],$A46,tbl_Budget[month],i_Setup!$C$10)</f>
        <v>3999.777</v>
      </c>
      <c r="C46" s="48">
        <f>SUMIFS(tbl_Actuals[revenue],tbl_Actuals[category],$A46, tbl_Actuals[month],i_Setup!$C$10)</f>
        <v>6443.85</v>
      </c>
      <c r="D46" s="50">
        <f>SUMIFS(tbl_Budget[budget_units],tbl_Budget[category],$A46,tbl_Budget[month],i_Setup!$C$10)</f>
        <v>42.84</v>
      </c>
      <c r="E46" s="50">
        <f>SUMIFS(tbl_Actuals[units], tbl_Actuals[category], $A46, tbl_Actuals[month], i_Setup!$C$10)</f>
        <v>63</v>
      </c>
      <c r="F46" s="48">
        <f>SUMIFS(tbl_Budget[budget_avg_price], tbl_Budget[category], $A46, tbl_Budget[month], i_Setup!$C$10)</f>
        <v>93.365476190476187</v>
      </c>
      <c r="G46" s="48">
        <f>SUMIFS(tbl_Actuals[avg_price], tbl_Actuals[category], $A46, tbl_Actuals[month], i_Setup!$C$10)</f>
        <v>102.283333</v>
      </c>
      <c r="H46" s="48">
        <f t="shared" si="0"/>
        <v>2444.0730000000003</v>
      </c>
      <c r="I46" s="48">
        <f t="shared" si="1"/>
        <v>561.82497900000021</v>
      </c>
      <c r="J46" s="48">
        <f t="shared" si="2"/>
        <v>1882.2479999999996</v>
      </c>
      <c r="K46">
        <f t="shared" si="3"/>
        <v>0</v>
      </c>
      <c r="L46" s="32" t="str">
        <f t="shared" si="4"/>
        <v/>
      </c>
      <c r="M46" s="32" t="str">
        <f>IF(L46="Unbudgeted",IF(H46&gt;=i_Setup!$C$13,"FLAG",""),IF(L46="No Activity","",IF(AND(ABS(H46)&gt;=i_Setup!$C$13,ABS(H46/B46)&gt;=i_Setup!$C$12),"FLAG","")))</f>
        <v/>
      </c>
      <c r="N46" t="str">
        <f>IF(M46="FLAG",COUNTIF($M$2:M46,"FLAG"),"")</f>
        <v/>
      </c>
    </row>
    <row r="47" spans="1:14" x14ac:dyDescent="0.25">
      <c r="A47" s="49" t="s">
        <v>42</v>
      </c>
      <c r="B47" s="48">
        <f>SUMIFS(tbl_Budget[budget_revenue],tbl_Budget[category],$A47,tbl_Budget[month],i_Setup!$C$10)</f>
        <v>3760.2810000000004</v>
      </c>
      <c r="C47" s="48">
        <f>SUMIFS(tbl_Actuals[revenue],tbl_Actuals[category],$A47, tbl_Actuals[month],i_Setup!$C$10)</f>
        <v>7532.76</v>
      </c>
      <c r="D47" s="50">
        <f>SUMIFS(tbl_Budget[budget_units],tbl_Budget[category],$A47,tbl_Budget[month],i_Setup!$C$10)</f>
        <v>15.3</v>
      </c>
      <c r="E47" s="50">
        <f>SUMIFS(tbl_Actuals[units], tbl_Actuals[category], $A47, tbl_Actuals[month], i_Setup!$C$10)</f>
        <v>14</v>
      </c>
      <c r="F47" s="48">
        <f>SUMIFS(tbl_Budget[budget_avg_price], tbl_Budget[category], $A47, tbl_Budget[month], i_Setup!$C$10)</f>
        <v>245.77</v>
      </c>
      <c r="G47" s="48">
        <f>SUMIFS(tbl_Actuals[avg_price], tbl_Actuals[category], $A47, tbl_Actuals[month], i_Setup!$C$10)</f>
        <v>538.05428600000005</v>
      </c>
      <c r="H47" s="48">
        <f t="shared" si="0"/>
        <v>3772.4789999999998</v>
      </c>
      <c r="I47" s="48">
        <f t="shared" si="1"/>
        <v>4091.9800040000009</v>
      </c>
      <c r="J47" s="48">
        <f t="shared" si="2"/>
        <v>-319.5010000000002</v>
      </c>
      <c r="K47">
        <f t="shared" si="3"/>
        <v>0</v>
      </c>
      <c r="L47" s="32" t="str">
        <f t="shared" si="4"/>
        <v/>
      </c>
      <c r="M47" s="32" t="str">
        <f>IF(L47="Unbudgeted",IF(H47&gt;=i_Setup!$C$13,"FLAG",""),IF(L47="No Activity","",IF(AND(ABS(H47)&gt;=i_Setup!$C$13,ABS(H47/B47)&gt;=i_Setup!$C$12),"FLAG","")))</f>
        <v/>
      </c>
      <c r="N47" t="str">
        <f>IF(M47="FLAG",COUNTIF($M$2:M47,"FLAG"),"")</f>
        <v/>
      </c>
    </row>
    <row r="48" spans="1:14" x14ac:dyDescent="0.25">
      <c r="A48" s="49" t="s">
        <v>43</v>
      </c>
      <c r="B48" s="48">
        <f>SUMIFS(tbl_Budget[budget_revenue],tbl_Budget[category],$A48,tbl_Budget[month],i_Setup!$C$10)</f>
        <v>0</v>
      </c>
      <c r="C48" s="48">
        <f>SUMIFS(tbl_Actuals[revenue],tbl_Actuals[category],$A48, tbl_Actuals[month],i_Setup!$C$10)</f>
        <v>0</v>
      </c>
      <c r="D48" s="50">
        <f>SUMIFS(tbl_Budget[budget_units],tbl_Budget[category],$A48,tbl_Budget[month],i_Setup!$C$10)</f>
        <v>0</v>
      </c>
      <c r="E48" s="50">
        <f>SUMIFS(tbl_Actuals[units], tbl_Actuals[category], $A48, tbl_Actuals[month], i_Setup!$C$10)</f>
        <v>0</v>
      </c>
      <c r="F48" s="48">
        <f>SUMIFS(tbl_Budget[budget_avg_price], tbl_Budget[category], $A48, tbl_Budget[month], i_Setup!$C$10)</f>
        <v>0</v>
      </c>
      <c r="G48" s="48">
        <f>SUMIFS(tbl_Actuals[avg_price], tbl_Actuals[category], $A48, tbl_Actuals[month], i_Setup!$C$10)</f>
        <v>0</v>
      </c>
      <c r="H48" s="48">
        <f t="shared" si="0"/>
        <v>0</v>
      </c>
      <c r="I48" s="48">
        <f t="shared" si="1"/>
        <v>0</v>
      </c>
      <c r="J48" s="48">
        <f t="shared" si="2"/>
        <v>0</v>
      </c>
      <c r="K48" t="str">
        <f t="shared" si="3"/>
        <v/>
      </c>
      <c r="L48" s="32" t="str">
        <f t="shared" si="4"/>
        <v>No Activity</v>
      </c>
      <c r="M48" s="32" t="str">
        <f>IF(L48="Unbudgeted",IF(H48&gt;=i_Setup!$C$13,"FLAG",""),IF(L48="No Activity","",IF(AND(ABS(H48)&gt;=i_Setup!$C$13,ABS(H48/B48)&gt;=i_Setup!$C$12),"FLAG","")))</f>
        <v/>
      </c>
      <c r="N48" t="str">
        <f>IF(M48="FLAG",COUNTIF($M$2:M48,"FLAG"),"")</f>
        <v/>
      </c>
    </row>
    <row r="49" spans="1:14" x14ac:dyDescent="0.25">
      <c r="A49" s="49" t="s">
        <v>57</v>
      </c>
      <c r="B49" s="48">
        <f>SUMIFS(tbl_Budget[budget_revenue],tbl_Budget[category],$A49,tbl_Budget[month],i_Setup!$C$10)</f>
        <v>4080.1938</v>
      </c>
      <c r="C49" s="48">
        <f>SUMIFS(tbl_Actuals[revenue],tbl_Actuals[category],$A49, tbl_Actuals[month],i_Setup!$C$10)</f>
        <v>2241.2800000000002</v>
      </c>
      <c r="D49" s="50">
        <f>SUMIFS(tbl_Budget[budget_units],tbl_Budget[category],$A49,tbl_Budget[month],i_Setup!$C$10)</f>
        <v>28.560000000000002</v>
      </c>
      <c r="E49" s="50">
        <f>SUMIFS(tbl_Actuals[units], tbl_Actuals[category], $A49, tbl_Actuals[month], i_Setup!$C$10)</f>
        <v>16</v>
      </c>
      <c r="F49" s="48">
        <f>SUMIFS(tbl_Budget[budget_avg_price], tbl_Budget[category], $A49, tbl_Budget[month], i_Setup!$C$10)</f>
        <v>142.86392857142857</v>
      </c>
      <c r="G49" s="48">
        <f>SUMIFS(tbl_Actuals[avg_price], tbl_Actuals[category], $A49, tbl_Actuals[month], i_Setup!$C$10)</f>
        <v>140.08000000000001</v>
      </c>
      <c r="H49" s="48">
        <f t="shared" si="0"/>
        <v>-1838.9137999999998</v>
      </c>
      <c r="I49" s="48">
        <f t="shared" si="1"/>
        <v>-44.542857142856974</v>
      </c>
      <c r="J49" s="48">
        <f t="shared" si="2"/>
        <v>-1794.3709428571433</v>
      </c>
      <c r="K49">
        <f t="shared" si="3"/>
        <v>0</v>
      </c>
      <c r="L49" s="32" t="str">
        <f t="shared" si="4"/>
        <v/>
      </c>
      <c r="M49" s="32" t="str">
        <f>IF(L49="Unbudgeted",IF(H49&gt;=i_Setup!$C$13,"FLAG",""),IF(L49="No Activity","",IF(AND(ABS(H49)&gt;=i_Setup!$C$13,ABS(H49/B49)&gt;=i_Setup!$C$12),"FLAG","")))</f>
        <v/>
      </c>
      <c r="N49" t="str">
        <f>IF(M49="FLAG",COUNTIF($M$2:M49,"FLAG"),"")</f>
        <v/>
      </c>
    </row>
    <row r="50" spans="1:14" x14ac:dyDescent="0.25">
      <c r="A50" s="49" t="s">
        <v>58</v>
      </c>
      <c r="B50" s="48">
        <f>SUMIFS(tbl_Budget[budget_revenue],tbl_Budget[category],$A50,tbl_Budget[month],i_Setup!$C$10)</f>
        <v>127.29599999999999</v>
      </c>
      <c r="C50" s="48">
        <f>SUMIFS(tbl_Actuals[revenue],tbl_Actuals[category],$A50, tbl_Actuals[month],i_Setup!$C$10)</f>
        <v>6286.16</v>
      </c>
      <c r="D50" s="50">
        <f>SUMIFS(tbl_Budget[budget_units],tbl_Budget[category],$A50,tbl_Budget[month],i_Setup!$C$10)</f>
        <v>1.02</v>
      </c>
      <c r="E50" s="50">
        <f>SUMIFS(tbl_Actuals[units], tbl_Actuals[category], $A50, tbl_Actuals[month], i_Setup!$C$10)</f>
        <v>48</v>
      </c>
      <c r="F50" s="48">
        <f>SUMIFS(tbl_Budget[budget_avg_price], tbl_Budget[category], $A50, tbl_Budget[month], i_Setup!$C$10)</f>
        <v>124.8</v>
      </c>
      <c r="G50" s="48">
        <f>SUMIFS(tbl_Actuals[avg_price], tbl_Actuals[category], $A50, tbl_Actuals[month], i_Setup!$C$10)</f>
        <v>130.96166700000001</v>
      </c>
      <c r="H50" s="48">
        <f t="shared" si="0"/>
        <v>6158.8639999999996</v>
      </c>
      <c r="I50" s="48">
        <f t="shared" si="1"/>
        <v>295.76001600000041</v>
      </c>
      <c r="J50" s="48">
        <f t="shared" si="2"/>
        <v>5863.1039999999994</v>
      </c>
      <c r="K50">
        <f t="shared" si="3"/>
        <v>0</v>
      </c>
      <c r="L50" s="32" t="str">
        <f t="shared" si="4"/>
        <v/>
      </c>
      <c r="M50" s="32" t="str">
        <f>IF(L50="Unbudgeted",IF(H50&gt;=i_Setup!$C$13,"FLAG",""),IF(L50="No Activity","",IF(AND(ABS(H50)&gt;=i_Setup!$C$13,ABS(H50/B50)&gt;=i_Setup!$C$12),"FLAG","")))</f>
        <v>FLAG</v>
      </c>
      <c r="N50">
        <f>IF(M50="FLAG",COUNTIF($M$2:M50,"FLAG"),"")</f>
        <v>11</v>
      </c>
    </row>
    <row r="51" spans="1:14" x14ac:dyDescent="0.25">
      <c r="A51" s="49" t="s">
        <v>24</v>
      </c>
      <c r="B51" s="48">
        <f>SUMIFS(tbl_Budget[budget_revenue],tbl_Budget[category],$A51,tbl_Budget[month],i_Setup!$C$10)</f>
        <v>23896.396800000002</v>
      </c>
      <c r="C51" s="48">
        <f>SUMIFS(tbl_Actuals[revenue],tbl_Actuals[category],$A51, tbl_Actuals[month],i_Setup!$C$10)</f>
        <v>58763.360000000001</v>
      </c>
      <c r="D51" s="50">
        <f>SUMIFS(tbl_Budget[budget_units],tbl_Budget[category],$A51,tbl_Budget[month],i_Setup!$C$10)</f>
        <v>285.60000000000002</v>
      </c>
      <c r="E51" s="50">
        <f>SUMIFS(tbl_Actuals[units], tbl_Actuals[category], $A51, tbl_Actuals[month], i_Setup!$C$10)</f>
        <v>616</v>
      </c>
      <c r="F51" s="48">
        <f>SUMIFS(tbl_Budget[budget_avg_price], tbl_Budget[category], $A51, tbl_Budget[month], i_Setup!$C$10)</f>
        <v>83.670857142857145</v>
      </c>
      <c r="G51" s="48">
        <f>SUMIFS(tbl_Actuals[avg_price], tbl_Actuals[category], $A51, tbl_Actuals[month], i_Setup!$C$10)</f>
        <v>95.395065000000002</v>
      </c>
      <c r="H51" s="48">
        <f t="shared" si="0"/>
        <v>34866.963199999998</v>
      </c>
      <c r="I51" s="48">
        <f t="shared" si="1"/>
        <v>7222.11204</v>
      </c>
      <c r="J51" s="48">
        <f t="shared" si="2"/>
        <v>27644.851199999997</v>
      </c>
      <c r="K51">
        <f t="shared" si="3"/>
        <v>0</v>
      </c>
      <c r="L51" s="32" t="str">
        <f t="shared" si="4"/>
        <v/>
      </c>
      <c r="M51" s="32" t="str">
        <f>IF(L51="Unbudgeted",IF(H51&gt;=i_Setup!$C$13,"FLAG",""),IF(L51="No Activity","",IF(AND(ABS(H51)&gt;=i_Setup!$C$13,ABS(H51/B51)&gt;=i_Setup!$C$12),"FLAG","")))</f>
        <v>FLAG</v>
      </c>
      <c r="N51">
        <f>IF(M51="FLAG",COUNTIF($M$2:M51,"FLAG"),"")</f>
        <v>12</v>
      </c>
    </row>
    <row r="52" spans="1:14" x14ac:dyDescent="0.25">
      <c r="A52" s="49" t="s">
        <v>25</v>
      </c>
      <c r="B52" s="48">
        <f>SUMIFS(tbl_Budget[budget_revenue],tbl_Budget[category],$A52,tbl_Budget[month],i_Setup!$C$10)</f>
        <v>1004.745</v>
      </c>
      <c r="C52" s="48">
        <f>SUMIFS(tbl_Actuals[revenue],tbl_Actuals[category],$A52, tbl_Actuals[month],i_Setup!$C$10)</f>
        <v>2364.69</v>
      </c>
      <c r="D52" s="50">
        <f>SUMIFS(tbl_Budget[budget_units],tbl_Budget[category],$A52,tbl_Budget[month],i_Setup!$C$10)</f>
        <v>3.1500000000000004</v>
      </c>
      <c r="E52" s="50">
        <f>SUMIFS(tbl_Actuals[units], tbl_Actuals[category], $A52, tbl_Actuals[month], i_Setup!$C$10)</f>
        <v>10</v>
      </c>
      <c r="F52" s="48">
        <f>SUMIFS(tbl_Budget[budget_avg_price], tbl_Budget[category], $A52, tbl_Budget[month], i_Setup!$C$10)</f>
        <v>318.96666666666664</v>
      </c>
      <c r="G52" s="48">
        <f>SUMIFS(tbl_Actuals[avg_price], tbl_Actuals[category], $A52, tbl_Actuals[month], i_Setup!$C$10)</f>
        <v>236.46899999999999</v>
      </c>
      <c r="H52" s="48">
        <f t="shared" si="0"/>
        <v>1359.9450000000002</v>
      </c>
      <c r="I52" s="48">
        <f t="shared" si="1"/>
        <v>-824.97666666666646</v>
      </c>
      <c r="J52" s="48">
        <f t="shared" si="2"/>
        <v>2184.9216666666662</v>
      </c>
      <c r="K52">
        <f t="shared" si="3"/>
        <v>0</v>
      </c>
      <c r="L52" s="32" t="str">
        <f t="shared" si="4"/>
        <v/>
      </c>
      <c r="M52" s="32" t="str">
        <f>IF(L52="Unbudgeted",IF(H52&gt;=i_Setup!$C$13,"FLAG",""),IF(L52="No Activity","",IF(AND(ABS(H52)&gt;=i_Setup!$C$13,ABS(H52/B52)&gt;=i_Setup!$C$12),"FLAG","")))</f>
        <v/>
      </c>
      <c r="N52" t="str">
        <f>IF(M52="FLAG",COUNTIF($M$2:M52,"FLAG"),"")</f>
        <v/>
      </c>
    </row>
    <row r="53" spans="1:14" x14ac:dyDescent="0.25">
      <c r="A53" s="49" t="s">
        <v>44</v>
      </c>
      <c r="B53" s="48">
        <f>SUMIFS(tbl_Budget[budget_revenue],tbl_Budget[category],$A53,tbl_Budget[month],i_Setup!$C$10)</f>
        <v>1026.3240000000001</v>
      </c>
      <c r="C53" s="48">
        <f>SUMIFS(tbl_Actuals[revenue],tbl_Actuals[category],$A53, tbl_Actuals[month],i_Setup!$C$10)</f>
        <v>2011.47</v>
      </c>
      <c r="D53" s="50">
        <f>SUMIFS(tbl_Budget[budget_units],tbl_Budget[category],$A53,tbl_Budget[month],i_Setup!$C$10)</f>
        <v>7.1400000000000006</v>
      </c>
      <c r="E53" s="50">
        <f>SUMIFS(tbl_Actuals[units], tbl_Actuals[category], $A53, tbl_Actuals[month], i_Setup!$C$10)</f>
        <v>20</v>
      </c>
      <c r="F53" s="48">
        <f>SUMIFS(tbl_Budget[budget_avg_price], tbl_Budget[category], $A53, tbl_Budget[month], i_Setup!$C$10)</f>
        <v>143.74285714285713</v>
      </c>
      <c r="G53" s="48">
        <f>SUMIFS(tbl_Actuals[avg_price], tbl_Actuals[category], $A53, tbl_Actuals[month], i_Setup!$C$10)</f>
        <v>100.5735</v>
      </c>
      <c r="H53" s="48">
        <f t="shared" si="0"/>
        <v>985.14599999999996</v>
      </c>
      <c r="I53" s="48">
        <f t="shared" si="1"/>
        <v>-863.38714285714275</v>
      </c>
      <c r="J53" s="48">
        <f t="shared" si="2"/>
        <v>1848.5331428571426</v>
      </c>
      <c r="K53">
        <f t="shared" si="3"/>
        <v>0</v>
      </c>
      <c r="L53" s="32" t="str">
        <f t="shared" si="4"/>
        <v/>
      </c>
      <c r="M53" s="32" t="str">
        <f>IF(L53="Unbudgeted",IF(H53&gt;=i_Setup!$C$13,"FLAG",""),IF(L53="No Activity","",IF(AND(ABS(H53)&gt;=i_Setup!$C$13,ABS(H53/B53)&gt;=i_Setup!$C$12),"FLAG","")))</f>
        <v/>
      </c>
      <c r="N53" t="str">
        <f>IF(M53="FLAG",COUNTIF($M$2:M53,"FLAG"),"")</f>
        <v/>
      </c>
    </row>
    <row r="54" spans="1:14" x14ac:dyDescent="0.25">
      <c r="A54" s="49" t="s">
        <v>69</v>
      </c>
      <c r="B54" s="48">
        <f>SUMIFS(tbl_Budget[budget_revenue],tbl_Budget[category],$A54,tbl_Budget[month],i_Setup!$C$10)</f>
        <v>0</v>
      </c>
      <c r="C54" s="48">
        <f>SUMIFS(tbl_Actuals[revenue],tbl_Actuals[category],$A54, tbl_Actuals[month],i_Setup!$C$10)</f>
        <v>0</v>
      </c>
      <c r="D54" s="50">
        <f>SUMIFS(tbl_Budget[budget_units],tbl_Budget[category],$A54,tbl_Budget[month],i_Setup!$C$10)</f>
        <v>0</v>
      </c>
      <c r="E54" s="50">
        <f>SUMIFS(tbl_Actuals[units], tbl_Actuals[category], $A54, tbl_Actuals[month], i_Setup!$C$10)</f>
        <v>0</v>
      </c>
      <c r="F54" s="48">
        <f>SUMIFS(tbl_Budget[budget_avg_price], tbl_Budget[category], $A54, tbl_Budget[month], i_Setup!$C$10)</f>
        <v>0</v>
      </c>
      <c r="G54" s="48">
        <f>SUMIFS(tbl_Actuals[avg_price], tbl_Actuals[category], $A54, tbl_Actuals[month], i_Setup!$C$10)</f>
        <v>0</v>
      </c>
      <c r="H54" s="48">
        <f t="shared" si="0"/>
        <v>0</v>
      </c>
      <c r="I54" s="48">
        <f t="shared" si="1"/>
        <v>0</v>
      </c>
      <c r="J54" s="48">
        <f t="shared" si="2"/>
        <v>0</v>
      </c>
      <c r="K54" t="str">
        <f t="shared" si="3"/>
        <v/>
      </c>
      <c r="L54" s="32" t="str">
        <f t="shared" si="4"/>
        <v>No Activity</v>
      </c>
      <c r="M54" s="32" t="str">
        <f>IF(L54="Unbudgeted",IF(H54&gt;=i_Setup!$C$13,"FLAG",""),IF(L54="No Activity","",IF(AND(ABS(H54)&gt;=i_Setup!$C$13,ABS(H54/B54)&gt;=i_Setup!$C$12),"FLAG","")))</f>
        <v/>
      </c>
      <c r="N54" t="str">
        <f>IF(M54="FLAG",COUNTIF($M$2:M54,"FLAG"),"")</f>
        <v/>
      </c>
    </row>
    <row r="55" spans="1:14" x14ac:dyDescent="0.25">
      <c r="A55" s="49" t="s">
        <v>45</v>
      </c>
      <c r="B55" s="48">
        <f>SUMIFS(tbl_Budget[budget_revenue],tbl_Budget[category],$A55,tbl_Budget[month],i_Setup!$C$10)</f>
        <v>6859.755000000001</v>
      </c>
      <c r="C55" s="48">
        <f>SUMIFS(tbl_Actuals[revenue],tbl_Actuals[category],$A55, tbl_Actuals[month],i_Setup!$C$10)</f>
        <v>6599.75</v>
      </c>
      <c r="D55" s="50">
        <f>SUMIFS(tbl_Budget[budget_units],tbl_Budget[category],$A55,tbl_Budget[month],i_Setup!$C$10)</f>
        <v>65.100000000000009</v>
      </c>
      <c r="E55" s="50">
        <f>SUMIFS(tbl_Actuals[units], tbl_Actuals[category], $A55, tbl_Actuals[month], i_Setup!$C$10)</f>
        <v>64</v>
      </c>
      <c r="F55" s="48">
        <f>SUMIFS(tbl_Budget[budget_avg_price], tbl_Budget[category], $A55, tbl_Budget[month], i_Setup!$C$10)</f>
        <v>105.37258064516129</v>
      </c>
      <c r="G55" s="48">
        <f>SUMIFS(tbl_Actuals[avg_price], tbl_Actuals[category], $A55, tbl_Actuals[month], i_Setup!$C$10)</f>
        <v>103.121094</v>
      </c>
      <c r="H55" s="48">
        <f t="shared" si="0"/>
        <v>-260.00500000000102</v>
      </c>
      <c r="I55" s="48">
        <f t="shared" si="1"/>
        <v>-144.09514529032276</v>
      </c>
      <c r="J55" s="48">
        <f t="shared" si="2"/>
        <v>-115.90983870967833</v>
      </c>
      <c r="K55">
        <f t="shared" si="3"/>
        <v>0</v>
      </c>
      <c r="L55" s="32" t="str">
        <f t="shared" si="4"/>
        <v/>
      </c>
      <c r="M55" s="32" t="str">
        <f>IF(L55="Unbudgeted",IF(H55&gt;=i_Setup!$C$13,"FLAG",""),IF(L55="No Activity","",IF(AND(ABS(H55)&gt;=i_Setup!$C$13,ABS(H55/B55)&gt;=i_Setup!$C$12),"FLAG","")))</f>
        <v/>
      </c>
      <c r="N55" t="str">
        <f>IF(M55="FLAG",COUNTIF($M$2:M55,"FLAG"),"")</f>
        <v/>
      </c>
    </row>
    <row r="56" spans="1:14" x14ac:dyDescent="0.25">
      <c r="A56" s="49" t="s">
        <v>26</v>
      </c>
      <c r="B56" s="48">
        <f>SUMIFS(tbl_Budget[budget_revenue],tbl_Budget[category],$A56,tbl_Budget[month],i_Setup!$C$10)</f>
        <v>2034.2595000000001</v>
      </c>
      <c r="C56" s="48">
        <f>SUMIFS(tbl_Actuals[revenue],tbl_Actuals[category],$A56, tbl_Actuals[month],i_Setup!$C$10)</f>
        <v>949.27</v>
      </c>
      <c r="D56" s="50">
        <f>SUMIFS(tbl_Budget[budget_units],tbl_Budget[category],$A56,tbl_Budget[month],i_Setup!$C$10)</f>
        <v>24.150000000000002</v>
      </c>
      <c r="E56" s="50">
        <f>SUMIFS(tbl_Actuals[units], tbl_Actuals[category], $A56, tbl_Actuals[month], i_Setup!$C$10)</f>
        <v>8</v>
      </c>
      <c r="F56" s="48">
        <f>SUMIFS(tbl_Budget[budget_avg_price], tbl_Budget[category], $A56, tbl_Budget[month], i_Setup!$C$10)</f>
        <v>84.23434782608696</v>
      </c>
      <c r="G56" s="48">
        <f>SUMIFS(tbl_Actuals[avg_price], tbl_Actuals[category], $A56, tbl_Actuals[month], i_Setup!$C$10)</f>
        <v>118.65875</v>
      </c>
      <c r="H56" s="48">
        <f t="shared" si="0"/>
        <v>-1084.9895000000001</v>
      </c>
      <c r="I56" s="48">
        <f t="shared" si="1"/>
        <v>275.3952173913043</v>
      </c>
      <c r="J56" s="48">
        <f t="shared" si="2"/>
        <v>-1360.3847173913045</v>
      </c>
      <c r="K56">
        <f t="shared" si="3"/>
        <v>0</v>
      </c>
      <c r="L56" s="32" t="str">
        <f t="shared" si="4"/>
        <v/>
      </c>
      <c r="M56" s="32" t="str">
        <f>IF(L56="Unbudgeted",IF(H56&gt;=i_Setup!$C$13,"FLAG",""),IF(L56="No Activity","",IF(AND(ABS(H56)&gt;=i_Setup!$C$13,ABS(H56/B56)&gt;=i_Setup!$C$12),"FLAG","")))</f>
        <v/>
      </c>
      <c r="N56" t="str">
        <f>IF(M56="FLAG",COUNTIF($M$2:M56,"FLAG"),"")</f>
        <v/>
      </c>
    </row>
    <row r="57" spans="1:14" x14ac:dyDescent="0.25">
      <c r="A57" s="49" t="s">
        <v>46</v>
      </c>
      <c r="B57" s="48">
        <f>SUMIFS(tbl_Budget[budget_revenue],tbl_Budget[category],$A57,tbl_Budget[month],i_Setup!$C$10)</f>
        <v>0</v>
      </c>
      <c r="C57" s="48">
        <f>SUMIFS(tbl_Actuals[revenue],tbl_Actuals[category],$A57, tbl_Actuals[month],i_Setup!$C$10)</f>
        <v>497.81</v>
      </c>
      <c r="D57" s="50">
        <f>SUMIFS(tbl_Budget[budget_units],tbl_Budget[category],$A57,tbl_Budget[month],i_Setup!$C$10)</f>
        <v>0</v>
      </c>
      <c r="E57" s="50">
        <f>SUMIFS(tbl_Actuals[units], tbl_Actuals[category], $A57, tbl_Actuals[month], i_Setup!$C$10)</f>
        <v>6</v>
      </c>
      <c r="F57" s="48">
        <f>SUMIFS(tbl_Budget[budget_avg_price], tbl_Budget[category], $A57, tbl_Budget[month], i_Setup!$C$10)</f>
        <v>0</v>
      </c>
      <c r="G57" s="48">
        <f>SUMIFS(tbl_Actuals[avg_price], tbl_Actuals[category], $A57, tbl_Actuals[month], i_Setup!$C$10)</f>
        <v>82.968333000000001</v>
      </c>
      <c r="H57" s="48">
        <f t="shared" si="0"/>
        <v>497.81</v>
      </c>
      <c r="I57" s="48">
        <f t="shared" si="1"/>
        <v>0</v>
      </c>
      <c r="J57" s="48">
        <f t="shared" si="2"/>
        <v>0</v>
      </c>
      <c r="K57" t="str">
        <f t="shared" si="3"/>
        <v/>
      </c>
      <c r="L57" s="32" t="str">
        <f t="shared" si="4"/>
        <v>Unbudgeted</v>
      </c>
      <c r="M57" s="32" t="str">
        <f>IF(L57="Unbudgeted",IF(H57&gt;=i_Setup!$C$13,"FLAG",""),IF(L57="No Activity","",IF(AND(ABS(H57)&gt;=i_Setup!$C$13,ABS(H57/B57)&gt;=i_Setup!$C$12),"FLAG","")))</f>
        <v/>
      </c>
      <c r="N57" t="str">
        <f>IF(M57="FLAG",COUNTIF($M$2:M57,"FLAG"),"")</f>
        <v/>
      </c>
    </row>
    <row r="58" spans="1:14" x14ac:dyDescent="0.25">
      <c r="A58" s="49" t="s">
        <v>47</v>
      </c>
      <c r="B58" s="48">
        <f>SUMIFS(tbl_Budget[budget_revenue],tbl_Budget[category],$A58,tbl_Budget[month],i_Setup!$C$10)</f>
        <v>7444.0275000000001</v>
      </c>
      <c r="C58" s="48">
        <f>SUMIFS(tbl_Actuals[revenue],tbl_Actuals[category],$A58, tbl_Actuals[month],i_Setup!$C$10)</f>
        <v>10519.34</v>
      </c>
      <c r="D58" s="50">
        <f>SUMIFS(tbl_Budget[budget_units],tbl_Budget[category],$A58,tbl_Budget[month],i_Setup!$C$10)</f>
        <v>24.150000000000002</v>
      </c>
      <c r="E58" s="50">
        <f>SUMIFS(tbl_Actuals[units], tbl_Actuals[category], $A58, tbl_Actuals[month], i_Setup!$C$10)</f>
        <v>41</v>
      </c>
      <c r="F58" s="48">
        <f>SUMIFS(tbl_Budget[budget_avg_price], tbl_Budget[category], $A58, tbl_Budget[month], i_Setup!$C$10)</f>
        <v>308.24130434782609</v>
      </c>
      <c r="G58" s="48">
        <f>SUMIFS(tbl_Actuals[avg_price], tbl_Actuals[category], $A58, tbl_Actuals[month], i_Setup!$C$10)</f>
        <v>256.56926800000002</v>
      </c>
      <c r="H58" s="48">
        <f t="shared" si="0"/>
        <v>3075.3125</v>
      </c>
      <c r="I58" s="48">
        <f t="shared" si="1"/>
        <v>-2118.5534902608688</v>
      </c>
      <c r="J58" s="48">
        <f t="shared" si="2"/>
        <v>5193.8659782608693</v>
      </c>
      <c r="K58">
        <f t="shared" si="3"/>
        <v>0</v>
      </c>
      <c r="L58" s="32" t="str">
        <f t="shared" si="4"/>
        <v/>
      </c>
      <c r="M58" s="32" t="str">
        <f>IF(L58="Unbudgeted",IF(H58&gt;=i_Setup!$C$13,"FLAG",""),IF(L58="No Activity","",IF(AND(ABS(H58)&gt;=i_Setup!$C$13,ABS(H58/B58)&gt;=i_Setup!$C$12),"FLAG","")))</f>
        <v/>
      </c>
      <c r="N58" t="str">
        <f>IF(M58="FLAG",COUNTIF($M$2:M58,"FLAG"),"")</f>
        <v/>
      </c>
    </row>
    <row r="59" spans="1:14" x14ac:dyDescent="0.25">
      <c r="A59" s="49" t="s">
        <v>27</v>
      </c>
      <c r="B59" s="48">
        <f>SUMIFS(tbl_Budget[budget_revenue],tbl_Budget[category],$A59,tbl_Budget[month],i_Setup!$C$10)</f>
        <v>10074.907200000001</v>
      </c>
      <c r="C59" s="48">
        <f>SUMIFS(tbl_Actuals[revenue],tbl_Actuals[category],$A59, tbl_Actuals[month],i_Setup!$C$10)</f>
        <v>6758.87</v>
      </c>
      <c r="D59" s="50">
        <f>SUMIFS(tbl_Budget[budget_units],tbl_Budget[category],$A59,tbl_Budget[month],i_Setup!$C$10)</f>
        <v>59.160000000000004</v>
      </c>
      <c r="E59" s="50">
        <f>SUMIFS(tbl_Actuals[units], tbl_Actuals[category], $A59, tbl_Actuals[month], i_Setup!$C$10)</f>
        <v>30</v>
      </c>
      <c r="F59" s="48">
        <f>SUMIFS(tbl_Budget[budget_avg_price], tbl_Budget[category], $A59, tbl_Budget[month], i_Setup!$C$10)</f>
        <v>170.2993103448276</v>
      </c>
      <c r="G59" s="48">
        <f>SUMIFS(tbl_Actuals[avg_price], tbl_Actuals[category], $A59, tbl_Actuals[month], i_Setup!$C$10)</f>
        <v>225.29566700000001</v>
      </c>
      <c r="H59" s="48">
        <f t="shared" si="0"/>
        <v>-3316.0372000000016</v>
      </c>
      <c r="I59" s="48">
        <f t="shared" si="1"/>
        <v>1649.8906996551723</v>
      </c>
      <c r="J59" s="48">
        <f t="shared" si="2"/>
        <v>-4965.9278896551732</v>
      </c>
      <c r="K59">
        <f t="shared" si="3"/>
        <v>0</v>
      </c>
      <c r="L59" s="32" t="str">
        <f t="shared" si="4"/>
        <v/>
      </c>
      <c r="M59" s="32" t="str">
        <f>IF(L59="Unbudgeted",IF(H59&gt;=i_Setup!$C$13,"FLAG",""),IF(L59="No Activity","",IF(AND(ABS(H59)&gt;=i_Setup!$C$13,ABS(H59/B59)&gt;=i_Setup!$C$12),"FLAG","")))</f>
        <v/>
      </c>
      <c r="N59" t="str">
        <f>IF(M59="FLAG",COUNTIF($M$2:M59,"FLAG"),"")</f>
        <v/>
      </c>
    </row>
    <row r="60" spans="1:14" x14ac:dyDescent="0.25">
      <c r="A60" s="49" t="s">
        <v>76</v>
      </c>
      <c r="B60" s="48">
        <f>SUMIFS(tbl_Budget[budget_revenue],tbl_Budget[category],$A60,tbl_Budget[month],i_Setup!$C$10)</f>
        <v>0</v>
      </c>
      <c r="C60" s="48">
        <f>SUMIFS(tbl_Actuals[revenue],tbl_Actuals[category],$A60, tbl_Actuals[month],i_Setup!$C$10)</f>
        <v>1285.29</v>
      </c>
      <c r="D60" s="50">
        <f>SUMIFS(tbl_Budget[budget_units],tbl_Budget[category],$A60,tbl_Budget[month],i_Setup!$C$10)</f>
        <v>0</v>
      </c>
      <c r="E60" s="50">
        <f>SUMIFS(tbl_Actuals[units], tbl_Actuals[category], $A60, tbl_Actuals[month], i_Setup!$C$10)</f>
        <v>14</v>
      </c>
      <c r="F60" s="48">
        <f>SUMIFS(tbl_Budget[budget_avg_price], tbl_Budget[category], $A60, tbl_Budget[month], i_Setup!$C$10)</f>
        <v>0</v>
      </c>
      <c r="G60" s="48">
        <f>SUMIFS(tbl_Actuals[avg_price], tbl_Actuals[category], $A60, tbl_Actuals[month], i_Setup!$C$10)</f>
        <v>91.806428999999994</v>
      </c>
      <c r="H60" s="48">
        <f t="shared" si="0"/>
        <v>1285.29</v>
      </c>
      <c r="I60" s="48">
        <f t="shared" si="1"/>
        <v>0</v>
      </c>
      <c r="J60" s="48">
        <f t="shared" si="2"/>
        <v>0</v>
      </c>
      <c r="K60" t="str">
        <f t="shared" si="3"/>
        <v/>
      </c>
      <c r="L60" s="32" t="str">
        <f t="shared" si="4"/>
        <v>Unbudgeted</v>
      </c>
      <c r="M60" s="32" t="str">
        <f>IF(L60="Unbudgeted",IF(H60&gt;=i_Setup!$C$13,"FLAG",""),IF(L60="No Activity","",IF(AND(ABS(H60)&gt;=i_Setup!$C$13,ABS(H60/B60)&gt;=i_Setup!$C$12),"FLAG","")))</f>
        <v/>
      </c>
      <c r="N60" t="str">
        <f>IF(M60="FLAG",COUNTIF($M$2:M60,"FLAG"),"")</f>
        <v/>
      </c>
    </row>
    <row r="61" spans="1:14" x14ac:dyDescent="0.25">
      <c r="A61" s="49" t="s">
        <v>70</v>
      </c>
      <c r="B61" s="48">
        <f>SUMIFS(tbl_Budget[budget_revenue],tbl_Budget[category],$A61,tbl_Budget[month],i_Setup!$C$10)</f>
        <v>0</v>
      </c>
      <c r="C61" s="48">
        <f>SUMIFS(tbl_Actuals[revenue],tbl_Actuals[category],$A61, tbl_Actuals[month],i_Setup!$C$10)</f>
        <v>219</v>
      </c>
      <c r="D61" s="50">
        <f>SUMIFS(tbl_Budget[budget_units],tbl_Budget[category],$A61,tbl_Budget[month],i_Setup!$C$10)</f>
        <v>0</v>
      </c>
      <c r="E61" s="50">
        <f>SUMIFS(tbl_Actuals[units], tbl_Actuals[category], $A61, tbl_Actuals[month], i_Setup!$C$10)</f>
        <v>1</v>
      </c>
      <c r="F61" s="48">
        <f>SUMIFS(tbl_Budget[budget_avg_price], tbl_Budget[category], $A61, tbl_Budget[month], i_Setup!$C$10)</f>
        <v>0</v>
      </c>
      <c r="G61" s="48">
        <f>SUMIFS(tbl_Actuals[avg_price], tbl_Actuals[category], $A61, tbl_Actuals[month], i_Setup!$C$10)</f>
        <v>219</v>
      </c>
      <c r="H61" s="48">
        <f t="shared" si="0"/>
        <v>219</v>
      </c>
      <c r="I61" s="48">
        <f t="shared" si="1"/>
        <v>0</v>
      </c>
      <c r="J61" s="48">
        <f t="shared" si="2"/>
        <v>0</v>
      </c>
      <c r="K61" t="str">
        <f t="shared" si="3"/>
        <v/>
      </c>
      <c r="L61" s="32" t="str">
        <f t="shared" si="4"/>
        <v>Unbudgeted</v>
      </c>
      <c r="M61" s="32" t="str">
        <f>IF(L61="Unbudgeted",IF(H61&gt;=i_Setup!$C$13,"FLAG",""),IF(L61="No Activity","",IF(AND(ABS(H61)&gt;=i_Setup!$C$13,ABS(H61/B61)&gt;=i_Setup!$C$12),"FLAG","")))</f>
        <v/>
      </c>
      <c r="N61" t="str">
        <f>IF(M61="FLAG",COUNTIF($M$2:M61,"FLAG"),"")</f>
        <v/>
      </c>
    </row>
    <row r="62" spans="1:14" x14ac:dyDescent="0.25">
      <c r="A62" s="49" t="s">
        <v>28</v>
      </c>
      <c r="B62" s="48">
        <f>SUMIFS(tbl_Budget[budget_revenue],tbl_Budget[category],$A62,tbl_Budget[month],i_Setup!$C$10)</f>
        <v>13739.355000000001</v>
      </c>
      <c r="C62" s="48">
        <f>SUMIFS(tbl_Actuals[revenue],tbl_Actuals[category],$A62, tbl_Actuals[month],i_Setup!$C$10)</f>
        <v>24839.74</v>
      </c>
      <c r="D62" s="50">
        <f>SUMIFS(tbl_Budget[budget_units],tbl_Budget[category],$A62,tbl_Budget[month],i_Setup!$C$10)</f>
        <v>133.35</v>
      </c>
      <c r="E62" s="50">
        <f>SUMIFS(tbl_Actuals[units], tbl_Actuals[category], $A62, tbl_Actuals[month], i_Setup!$C$10)</f>
        <v>218</v>
      </c>
      <c r="F62" s="48">
        <f>SUMIFS(tbl_Budget[budget_avg_price], tbl_Budget[category], $A62, tbl_Budget[month], i_Setup!$C$10)</f>
        <v>103.03228346456694</v>
      </c>
      <c r="G62" s="48">
        <f>SUMIFS(tbl_Actuals[avg_price], tbl_Actuals[category], $A62, tbl_Actuals[month], i_Setup!$C$10)</f>
        <v>113.94376099999999</v>
      </c>
      <c r="H62" s="48">
        <f t="shared" si="0"/>
        <v>11100.385</v>
      </c>
      <c r="I62" s="48">
        <f t="shared" si="1"/>
        <v>2378.702102724405</v>
      </c>
      <c r="J62" s="48">
        <f t="shared" si="2"/>
        <v>8721.6827952755921</v>
      </c>
      <c r="K62">
        <f t="shared" si="3"/>
        <v>0</v>
      </c>
      <c r="L62" s="32" t="str">
        <f t="shared" si="4"/>
        <v/>
      </c>
      <c r="M62" s="32" t="str">
        <f>IF(L62="Unbudgeted",IF(H62&gt;=i_Setup!$C$13,"FLAG",""),IF(L62="No Activity","",IF(AND(ABS(H62)&gt;=i_Setup!$C$13,ABS(H62/B62)&gt;=i_Setup!$C$12),"FLAG","")))</f>
        <v>FLAG</v>
      </c>
      <c r="N62">
        <f>IF(M62="FLAG",COUNTIF($M$2:M62,"FLAG"),"")</f>
        <v>13</v>
      </c>
    </row>
    <row r="63" spans="1:14" x14ac:dyDescent="0.25">
      <c r="A63" s="49" t="s">
        <v>29</v>
      </c>
      <c r="B63" s="48">
        <f>SUMIFS(tbl_Budget[budget_revenue],tbl_Budget[category],$A63,tbl_Budget[month],i_Setup!$C$10)</f>
        <v>10947.079500000002</v>
      </c>
      <c r="C63" s="48">
        <f>SUMIFS(tbl_Actuals[revenue],tbl_Actuals[category],$A63, tbl_Actuals[month],i_Setup!$C$10)</f>
        <v>24608.07</v>
      </c>
      <c r="D63" s="50">
        <f>SUMIFS(tbl_Budget[budget_units],tbl_Budget[category],$A63,tbl_Budget[month],i_Setup!$C$10)</f>
        <v>93.45</v>
      </c>
      <c r="E63" s="50">
        <f>SUMIFS(tbl_Actuals[units], tbl_Actuals[category], $A63, tbl_Actuals[month], i_Setup!$C$10)</f>
        <v>198</v>
      </c>
      <c r="F63" s="48">
        <f>SUMIFS(tbl_Budget[budget_avg_price], tbl_Budget[category], $A63, tbl_Budget[month], i_Setup!$C$10)</f>
        <v>117.14370786516855</v>
      </c>
      <c r="G63" s="48">
        <f>SUMIFS(tbl_Actuals[avg_price], tbl_Actuals[category], $A63, tbl_Actuals[month], i_Setup!$C$10)</f>
        <v>124.283182</v>
      </c>
      <c r="H63" s="48">
        <f t="shared" si="0"/>
        <v>13660.990499999998</v>
      </c>
      <c r="I63" s="48">
        <f t="shared" si="1"/>
        <v>1413.6158786966262</v>
      </c>
      <c r="J63" s="48">
        <f t="shared" si="2"/>
        <v>12247.374657303371</v>
      </c>
      <c r="K63">
        <f t="shared" si="3"/>
        <v>0</v>
      </c>
      <c r="L63" s="32" t="str">
        <f t="shared" si="4"/>
        <v/>
      </c>
      <c r="M63" s="32" t="str">
        <f>IF(L63="Unbudgeted",IF(H63&gt;=i_Setup!$C$13,"FLAG",""),IF(L63="No Activity","",IF(AND(ABS(H63)&gt;=i_Setup!$C$13,ABS(H63/B63)&gt;=i_Setup!$C$12),"FLAG","")))</f>
        <v>FLAG</v>
      </c>
      <c r="N63">
        <f>IF(M63="FLAG",COUNTIF($M$2:M63,"FLAG"),"")</f>
        <v>14</v>
      </c>
    </row>
    <row r="64" spans="1:14" x14ac:dyDescent="0.25">
      <c r="A64" s="49" t="s">
        <v>78</v>
      </c>
      <c r="B64" s="48">
        <f>SUMIFS(tbl_Budget[budget_revenue],tbl_Budget[category],$A64,tbl_Budget[month],i_Setup!$C$10)</f>
        <v>0</v>
      </c>
      <c r="C64" s="48">
        <f>SUMIFS(tbl_Actuals[revenue],tbl_Actuals[category],$A64, tbl_Actuals[month],i_Setup!$C$10)</f>
        <v>1803.6</v>
      </c>
      <c r="D64" s="50">
        <f>SUMIFS(tbl_Budget[budget_units],tbl_Budget[category],$A64,tbl_Budget[month],i_Setup!$C$10)</f>
        <v>0</v>
      </c>
      <c r="E64" s="50">
        <f>SUMIFS(tbl_Actuals[units], tbl_Actuals[category], $A64, tbl_Actuals[month], i_Setup!$C$10)</f>
        <v>4</v>
      </c>
      <c r="F64" s="48">
        <f>SUMIFS(tbl_Budget[budget_avg_price], tbl_Budget[category], $A64, tbl_Budget[month], i_Setup!$C$10)</f>
        <v>0</v>
      </c>
      <c r="G64" s="48">
        <f>SUMIFS(tbl_Actuals[avg_price], tbl_Actuals[category], $A64, tbl_Actuals[month], i_Setup!$C$10)</f>
        <v>450.9</v>
      </c>
      <c r="H64" s="48">
        <f t="shared" si="0"/>
        <v>1803.6</v>
      </c>
      <c r="I64" s="48">
        <f t="shared" si="1"/>
        <v>0</v>
      </c>
      <c r="J64" s="48">
        <f t="shared" si="2"/>
        <v>0</v>
      </c>
      <c r="K64" t="str">
        <f t="shared" si="3"/>
        <v/>
      </c>
      <c r="L64" s="32" t="str">
        <f t="shared" si="4"/>
        <v>Unbudgeted</v>
      </c>
      <c r="M64" s="32" t="str">
        <f>IF(L64="Unbudgeted",IF(H64&gt;=i_Setup!$C$13,"FLAG",""),IF(L64="No Activity","",IF(AND(ABS(H64)&gt;=i_Setup!$C$13,ABS(H64/B64)&gt;=i_Setup!$C$12),"FLAG","")))</f>
        <v/>
      </c>
      <c r="N64" t="str">
        <f>IF(M64="FLAG",COUNTIF($M$2:M64,"FLAG"),"")</f>
        <v/>
      </c>
    </row>
    <row r="65" spans="1:14" x14ac:dyDescent="0.25">
      <c r="A65" s="49" t="s">
        <v>48</v>
      </c>
      <c r="B65" s="48">
        <f>SUMIFS(tbl_Budget[budget_revenue],tbl_Budget[category],$A65,tbl_Budget[month],i_Setup!$C$10)</f>
        <v>0</v>
      </c>
      <c r="C65" s="48">
        <f>SUMIFS(tbl_Actuals[revenue],tbl_Actuals[category],$A65, tbl_Actuals[month],i_Setup!$C$10)</f>
        <v>0</v>
      </c>
      <c r="D65" s="50">
        <f>SUMIFS(tbl_Budget[budget_units],tbl_Budget[category],$A65,tbl_Budget[month],i_Setup!$C$10)</f>
        <v>0</v>
      </c>
      <c r="E65" s="50">
        <f>SUMIFS(tbl_Actuals[units], tbl_Actuals[category], $A65, tbl_Actuals[month], i_Setup!$C$10)</f>
        <v>0</v>
      </c>
      <c r="F65" s="48">
        <f>SUMIFS(tbl_Budget[budget_avg_price], tbl_Budget[category], $A65, tbl_Budget[month], i_Setup!$C$10)</f>
        <v>0</v>
      </c>
      <c r="G65" s="48">
        <f>SUMIFS(tbl_Actuals[avg_price], tbl_Actuals[category], $A65, tbl_Actuals[month], i_Setup!$C$10)</f>
        <v>0</v>
      </c>
      <c r="H65" s="48">
        <f t="shared" si="0"/>
        <v>0</v>
      </c>
      <c r="I65" s="48">
        <f t="shared" si="1"/>
        <v>0</v>
      </c>
      <c r="J65" s="48">
        <f t="shared" si="2"/>
        <v>0</v>
      </c>
      <c r="K65" t="str">
        <f t="shared" si="3"/>
        <v/>
      </c>
      <c r="L65" s="32" t="str">
        <f t="shared" si="4"/>
        <v>No Activity</v>
      </c>
      <c r="M65" s="32" t="str">
        <f>IF(L65="Unbudgeted",IF(H65&gt;=i_Setup!$C$13,"FLAG",""),IF(L65="No Activity","",IF(AND(ABS(H65)&gt;=i_Setup!$C$13,ABS(H65/B65)&gt;=i_Setup!$C$12),"FLAG","")))</f>
        <v/>
      </c>
      <c r="N65" t="str">
        <f>IF(M65="FLAG",COUNTIF($M$2:M65,"FLAG"),"")</f>
        <v/>
      </c>
    </row>
    <row r="66" spans="1:14" x14ac:dyDescent="0.25">
      <c r="A66" s="49" t="s">
        <v>64</v>
      </c>
      <c r="B66" s="48">
        <f>SUMIFS(tbl_Budget[budget_revenue],tbl_Budget[category],$A66,tbl_Budget[month],i_Setup!$C$10)</f>
        <v>396.69000000000005</v>
      </c>
      <c r="C66" s="48">
        <f>SUMIFS(tbl_Actuals[revenue],tbl_Actuals[category],$A66, tbl_Actuals[month],i_Setup!$C$10)</f>
        <v>1825.59</v>
      </c>
      <c r="D66" s="50">
        <f>SUMIFS(tbl_Budget[budget_units],tbl_Budget[category],$A66,tbl_Budget[month],i_Setup!$C$10)</f>
        <v>4.2</v>
      </c>
      <c r="E66" s="50">
        <f>SUMIFS(tbl_Actuals[units], tbl_Actuals[category], $A66, tbl_Actuals[month], i_Setup!$C$10)</f>
        <v>22</v>
      </c>
      <c r="F66" s="48">
        <f>SUMIFS(tbl_Budget[budget_avg_price], tbl_Budget[category], $A66, tbl_Budget[month], i_Setup!$C$10)</f>
        <v>94.45</v>
      </c>
      <c r="G66" s="48">
        <f>SUMIFS(tbl_Actuals[avg_price], tbl_Actuals[category], $A66, tbl_Actuals[month], i_Setup!$C$10)</f>
        <v>82.981363999999999</v>
      </c>
      <c r="H66" s="48">
        <f t="shared" si="0"/>
        <v>1428.8999999999999</v>
      </c>
      <c r="I66" s="48">
        <f t="shared" si="1"/>
        <v>-252.30999200000008</v>
      </c>
      <c r="J66" s="48">
        <f t="shared" si="2"/>
        <v>1681.21</v>
      </c>
      <c r="K66">
        <f t="shared" si="3"/>
        <v>0</v>
      </c>
      <c r="L66" s="32" t="str">
        <f t="shared" si="4"/>
        <v/>
      </c>
      <c r="M66" s="32" t="str">
        <f>IF(L66="Unbudgeted",IF(H66&gt;=i_Setup!$C$13,"FLAG",""),IF(L66="No Activity","",IF(AND(ABS(H66)&gt;=i_Setup!$C$13,ABS(H66/B66)&gt;=i_Setup!$C$12),"FLAG","")))</f>
        <v/>
      </c>
      <c r="N66" t="str">
        <f>IF(M66="FLAG",COUNTIF($M$2:M66,"FLAG"),"")</f>
        <v/>
      </c>
    </row>
    <row r="67" spans="1:14" x14ac:dyDescent="0.25">
      <c r="A67" s="49" t="s">
        <v>49</v>
      </c>
      <c r="B67" s="48">
        <f>SUMIFS(tbl_Budget[budget_revenue],tbl_Budget[category],$A67,tbl_Budget[month],i_Setup!$C$10)</f>
        <v>4511.8605000000007</v>
      </c>
      <c r="C67" s="48">
        <f>SUMIFS(tbl_Actuals[revenue],tbl_Actuals[category],$A67, tbl_Actuals[month],i_Setup!$C$10)</f>
        <v>6168.06</v>
      </c>
      <c r="D67" s="50">
        <f>SUMIFS(tbl_Budget[budget_units],tbl_Budget[category],$A67,tbl_Budget[month],i_Setup!$C$10)</f>
        <v>37.800000000000004</v>
      </c>
      <c r="E67" s="50">
        <f>SUMIFS(tbl_Actuals[units], tbl_Actuals[category], $A67, tbl_Actuals[month], i_Setup!$C$10)</f>
        <v>23</v>
      </c>
      <c r="F67" s="48">
        <f>SUMIFS(tbl_Budget[budget_avg_price], tbl_Budget[category], $A67, tbl_Budget[month], i_Setup!$C$10)</f>
        <v>119.3613888888889</v>
      </c>
      <c r="G67" s="48">
        <f>SUMIFS(tbl_Actuals[avg_price], tbl_Actuals[category], $A67, tbl_Actuals[month], i_Setup!$C$10)</f>
        <v>268.17652199999998</v>
      </c>
      <c r="H67" s="48">
        <f t="shared" ref="H67:H75" si="5">C67-B67</f>
        <v>1656.1994999999997</v>
      </c>
      <c r="I67" s="48">
        <f t="shared" ref="I67:I75" si="6">IF($B67=0,0,(G67-F67)*E67)</f>
        <v>3422.7480615555551</v>
      </c>
      <c r="J67" s="48">
        <f t="shared" ref="J67:J75" si="7">IF($B67=0,0,(E67-D67)*F67)</f>
        <v>-1766.5485555555563</v>
      </c>
      <c r="K67">
        <f t="shared" ref="K67:K75" si="8">IF($B67=0,"",ROUND(H67-I67-J67,2))</f>
        <v>0</v>
      </c>
      <c r="L67" s="32" t="str">
        <f t="shared" ref="L67:L75" si="9">IF(AND(B67=0,C67=0),"No Activity",IF(B67=0,"Unbudgeted",""))</f>
        <v/>
      </c>
      <c r="M67" s="32" t="str">
        <f>IF(L67="Unbudgeted",IF(H67&gt;=i_Setup!$C$13,"FLAG",""),IF(L67="No Activity","",IF(AND(ABS(H67)&gt;=i_Setup!$C$13,ABS(H67/B67)&gt;=i_Setup!$C$12),"FLAG","")))</f>
        <v/>
      </c>
      <c r="N67" t="str">
        <f>IF(M67="FLAG",COUNTIF($M$2:M67,"FLAG"),"")</f>
        <v/>
      </c>
    </row>
    <row r="68" spans="1:14" x14ac:dyDescent="0.25">
      <c r="A68" s="49" t="s">
        <v>73</v>
      </c>
      <c r="B68" s="48">
        <f>SUMIFS(tbl_Budget[budget_revenue],tbl_Budget[category],$A68,tbl_Budget[month],i_Setup!$C$10)</f>
        <v>22.337999999999997</v>
      </c>
      <c r="C68" s="48">
        <f>SUMIFS(tbl_Actuals[revenue],tbl_Actuals[category],$A68, tbl_Actuals[month],i_Setup!$C$10)</f>
        <v>2996.72</v>
      </c>
      <c r="D68" s="50">
        <f>SUMIFS(tbl_Budget[budget_units],tbl_Budget[category],$A68,tbl_Budget[month],i_Setup!$C$10)</f>
        <v>1.02</v>
      </c>
      <c r="E68" s="50">
        <f>SUMIFS(tbl_Actuals[units], tbl_Actuals[category], $A68, tbl_Actuals[month], i_Setup!$C$10)</f>
        <v>17</v>
      </c>
      <c r="F68" s="48">
        <f>SUMIFS(tbl_Budget[budget_avg_price], tbl_Budget[category], $A68, tbl_Budget[month], i_Setup!$C$10)</f>
        <v>21.9</v>
      </c>
      <c r="G68" s="48">
        <f>SUMIFS(tbl_Actuals[avg_price], tbl_Actuals[category], $A68, tbl_Actuals[month], i_Setup!$C$10)</f>
        <v>176.277647</v>
      </c>
      <c r="H68" s="48">
        <f t="shared" si="5"/>
        <v>2974.3819999999996</v>
      </c>
      <c r="I68" s="48">
        <f t="shared" si="6"/>
        <v>2624.4199989999997</v>
      </c>
      <c r="J68" s="48">
        <f t="shared" si="7"/>
        <v>349.96199999999999</v>
      </c>
      <c r="K68">
        <f t="shared" si="8"/>
        <v>0</v>
      </c>
      <c r="L68" s="32" t="str">
        <f t="shared" si="9"/>
        <v/>
      </c>
      <c r="M68" s="32" t="str">
        <f>IF(L68="Unbudgeted",IF(H68&gt;=i_Setup!$C$13,"FLAG",""),IF(L68="No Activity","",IF(AND(ABS(H68)&gt;=i_Setup!$C$13,ABS(H68/B68)&gt;=i_Setup!$C$12),"FLAG","")))</f>
        <v/>
      </c>
      <c r="N68" t="str">
        <f>IF(M68="FLAG",COUNTIF($M$2:M68,"FLAG"),"")</f>
        <v/>
      </c>
    </row>
    <row r="69" spans="1:14" x14ac:dyDescent="0.25">
      <c r="A69" s="49" t="s">
        <v>30</v>
      </c>
      <c r="B69" s="48">
        <f>SUMIFS(tbl_Budget[budget_revenue],tbl_Budget[category],$A69,tbl_Budget[month],i_Setup!$C$10)</f>
        <v>42656.008499999996</v>
      </c>
      <c r="C69" s="48">
        <f>SUMIFS(tbl_Actuals[revenue],tbl_Actuals[category],$A69, tbl_Actuals[month],i_Setup!$C$10)</f>
        <v>50860.18</v>
      </c>
      <c r="D69" s="50">
        <f>SUMIFS(tbl_Budget[budget_units],tbl_Budget[category],$A69,tbl_Budget[month],i_Setup!$C$10)</f>
        <v>437.85</v>
      </c>
      <c r="E69" s="50">
        <f>SUMIFS(tbl_Actuals[units], tbl_Actuals[category], $A69, tbl_Actuals[month], i_Setup!$C$10)</f>
        <v>471</v>
      </c>
      <c r="F69" s="48">
        <f>SUMIFS(tbl_Budget[budget_avg_price], tbl_Budget[category], $A69, tbl_Budget[month], i_Setup!$C$10)</f>
        <v>97.421510791366899</v>
      </c>
      <c r="G69" s="48">
        <f>SUMIFS(tbl_Actuals[avg_price], tbl_Actuals[category], $A69, tbl_Actuals[month], i_Setup!$C$10)</f>
        <v>107.983397</v>
      </c>
      <c r="H69" s="48">
        <f t="shared" si="5"/>
        <v>8204.171500000004</v>
      </c>
      <c r="I69" s="48">
        <f t="shared" si="6"/>
        <v>4974.6484042661887</v>
      </c>
      <c r="J69" s="48">
        <f t="shared" si="7"/>
        <v>3229.5230827338105</v>
      </c>
      <c r="K69">
        <f t="shared" si="8"/>
        <v>0</v>
      </c>
      <c r="L69" s="32" t="str">
        <f t="shared" si="9"/>
        <v/>
      </c>
      <c r="M69" s="32" t="str">
        <f>IF(L69="Unbudgeted",IF(H69&gt;=i_Setup!$C$13,"FLAG",""),IF(L69="No Activity","",IF(AND(ABS(H69)&gt;=i_Setup!$C$13,ABS(H69/B69)&gt;=i_Setup!$C$12),"FLAG","")))</f>
        <v>FLAG</v>
      </c>
      <c r="N69">
        <f>IF(M69="FLAG",COUNTIF($M$2:M69,"FLAG"),"")</f>
        <v>15</v>
      </c>
    </row>
    <row r="70" spans="1:14" x14ac:dyDescent="0.25">
      <c r="A70" s="49" t="s">
        <v>50</v>
      </c>
      <c r="B70" s="48">
        <f>SUMIFS(tbl_Budget[budget_revenue],tbl_Budget[category],$A70,tbl_Budget[month],i_Setup!$C$10)</f>
        <v>6685.2555000000002</v>
      </c>
      <c r="C70" s="48">
        <f>SUMIFS(tbl_Actuals[revenue],tbl_Actuals[category],$A70, tbl_Actuals[month],i_Setup!$C$10)</f>
        <v>15445.65</v>
      </c>
      <c r="D70" s="50">
        <f>SUMIFS(tbl_Budget[budget_units],tbl_Budget[category],$A70,tbl_Budget[month],i_Setup!$C$10)</f>
        <v>84</v>
      </c>
      <c r="E70" s="50">
        <f>SUMIFS(tbl_Actuals[units], tbl_Actuals[category], $A70, tbl_Actuals[month], i_Setup!$C$10)</f>
        <v>169</v>
      </c>
      <c r="F70" s="48">
        <f>SUMIFS(tbl_Budget[budget_avg_price], tbl_Budget[category], $A70, tbl_Budget[month], i_Setup!$C$10)</f>
        <v>79.586375000000004</v>
      </c>
      <c r="G70" s="48">
        <f>SUMIFS(tbl_Actuals[avg_price], tbl_Actuals[category], $A70, tbl_Actuals[month], i_Setup!$C$10)</f>
        <v>91.394379000000001</v>
      </c>
      <c r="H70" s="48">
        <f t="shared" si="5"/>
        <v>8760.3944999999985</v>
      </c>
      <c r="I70" s="48">
        <f t="shared" si="6"/>
        <v>1995.5526759999996</v>
      </c>
      <c r="J70" s="48">
        <f t="shared" si="7"/>
        <v>6764.8418750000001</v>
      </c>
      <c r="K70">
        <f t="shared" si="8"/>
        <v>0</v>
      </c>
      <c r="L70" s="32" t="str">
        <f t="shared" si="9"/>
        <v/>
      </c>
      <c r="M70" s="32" t="str">
        <f>IF(L70="Unbudgeted",IF(H70&gt;=i_Setup!$C$13,"FLAG",""),IF(L70="No Activity","",IF(AND(ABS(H70)&gt;=i_Setup!$C$13,ABS(H70/B70)&gt;=i_Setup!$C$12),"FLAG","")))</f>
        <v>FLAG</v>
      </c>
      <c r="N70">
        <f>IF(M70="FLAG",COUNTIF($M$2:M70,"FLAG"),"")</f>
        <v>16</v>
      </c>
    </row>
    <row r="71" spans="1:14" x14ac:dyDescent="0.25">
      <c r="A71" s="49" t="s">
        <v>59</v>
      </c>
      <c r="B71" s="48">
        <f>SUMIFS(tbl_Budget[budget_revenue],tbl_Budget[category],$A71,tbl_Budget[month],i_Setup!$C$10)</f>
        <v>0</v>
      </c>
      <c r="C71" s="48">
        <f>SUMIFS(tbl_Actuals[revenue],tbl_Actuals[category],$A71, tbl_Actuals[month],i_Setup!$C$10)</f>
        <v>0</v>
      </c>
      <c r="D71" s="50">
        <f>SUMIFS(tbl_Budget[budget_units],tbl_Budget[category],$A71,tbl_Budget[month],i_Setup!$C$10)</f>
        <v>0</v>
      </c>
      <c r="E71" s="50">
        <f>SUMIFS(tbl_Actuals[units], tbl_Actuals[category], $A71, tbl_Actuals[month], i_Setup!$C$10)</f>
        <v>0</v>
      </c>
      <c r="F71" s="48">
        <f>SUMIFS(tbl_Budget[budget_avg_price], tbl_Budget[category], $A71, tbl_Budget[month], i_Setup!$C$10)</f>
        <v>0</v>
      </c>
      <c r="G71" s="48">
        <f>SUMIFS(tbl_Actuals[avg_price], tbl_Actuals[category], $A71, tbl_Actuals[month], i_Setup!$C$10)</f>
        <v>0</v>
      </c>
      <c r="H71" s="48">
        <f t="shared" si="5"/>
        <v>0</v>
      </c>
      <c r="I71" s="48">
        <f t="shared" si="6"/>
        <v>0</v>
      </c>
      <c r="J71" s="48">
        <f t="shared" si="7"/>
        <v>0</v>
      </c>
      <c r="K71" t="str">
        <f t="shared" si="8"/>
        <v/>
      </c>
      <c r="L71" s="32" t="str">
        <f t="shared" si="9"/>
        <v>No Activity</v>
      </c>
      <c r="M71" s="32" t="str">
        <f>IF(L71="Unbudgeted",IF(H71&gt;=i_Setup!$C$13,"FLAG",""),IF(L71="No Activity","",IF(AND(ABS(H71)&gt;=i_Setup!$C$13,ABS(H71/B71)&gt;=i_Setup!$C$12),"FLAG","")))</f>
        <v/>
      </c>
      <c r="N71" t="str">
        <f>IF(M71="FLAG",COUNTIF($M$2:M71,"FLAG"),"")</f>
        <v/>
      </c>
    </row>
    <row r="72" spans="1:14" x14ac:dyDescent="0.25">
      <c r="A72" s="49" t="s">
        <v>31</v>
      </c>
      <c r="B72" s="48">
        <f>SUMIFS(tbl_Budget[budget_revenue],tbl_Budget[category],$A72,tbl_Budget[month],i_Setup!$C$10)</f>
        <v>11080.9755</v>
      </c>
      <c r="C72" s="48">
        <f>SUMIFS(tbl_Actuals[revenue],tbl_Actuals[category],$A72, tbl_Actuals[month],i_Setup!$C$10)</f>
        <v>36572.910000000003</v>
      </c>
      <c r="D72" s="50">
        <f>SUMIFS(tbl_Budget[budget_units],tbl_Budget[category],$A72,tbl_Budget[month],i_Setup!$C$10)</f>
        <v>138.6</v>
      </c>
      <c r="E72" s="50">
        <f>SUMIFS(tbl_Actuals[units], tbl_Actuals[category], $A72, tbl_Actuals[month], i_Setup!$C$10)</f>
        <v>271</v>
      </c>
      <c r="F72" s="48">
        <f>SUMIFS(tbl_Budget[budget_avg_price], tbl_Budget[category], $A72, tbl_Budget[month], i_Setup!$C$10)</f>
        <v>79.949318181818185</v>
      </c>
      <c r="G72" s="48">
        <f>SUMIFS(tbl_Actuals[avg_price], tbl_Actuals[category], $A72, tbl_Actuals[month], i_Setup!$C$10)</f>
        <v>134.955387</v>
      </c>
      <c r="H72" s="48">
        <f t="shared" si="5"/>
        <v>25491.934500000003</v>
      </c>
      <c r="I72" s="48">
        <f t="shared" si="6"/>
        <v>14906.644649727272</v>
      </c>
      <c r="J72" s="48">
        <f t="shared" si="7"/>
        <v>10585.289727272728</v>
      </c>
      <c r="K72">
        <f t="shared" si="8"/>
        <v>0</v>
      </c>
      <c r="L72" s="32" t="str">
        <f t="shared" si="9"/>
        <v/>
      </c>
      <c r="M72" s="32" t="str">
        <f>IF(L72="Unbudgeted",IF(H72&gt;=i_Setup!$C$13,"FLAG",""),IF(L72="No Activity","",IF(AND(ABS(H72)&gt;=i_Setup!$C$13,ABS(H72/B72)&gt;=i_Setup!$C$12),"FLAG","")))</f>
        <v>FLAG</v>
      </c>
      <c r="N72">
        <f>IF(M72="FLAG",COUNTIF($M$2:M72,"FLAG"),"")</f>
        <v>17</v>
      </c>
    </row>
    <row r="73" spans="1:14" x14ac:dyDescent="0.25">
      <c r="A73" s="49" t="s">
        <v>32</v>
      </c>
      <c r="B73" s="48">
        <f>SUMIFS(tbl_Budget[budget_revenue],tbl_Budget[category],$A73,tbl_Budget[month],i_Setup!$C$10)</f>
        <v>18559.138500000001</v>
      </c>
      <c r="C73" s="48">
        <f>SUMIFS(tbl_Actuals[revenue],tbl_Actuals[category],$A73, tbl_Actuals[month],i_Setup!$C$10)</f>
        <v>16923.75</v>
      </c>
      <c r="D73" s="50">
        <f>SUMIFS(tbl_Budget[budget_units],tbl_Budget[category],$A73,tbl_Budget[month],i_Setup!$C$10)</f>
        <v>191.1</v>
      </c>
      <c r="E73" s="50">
        <f>SUMIFS(tbl_Actuals[units], tbl_Actuals[category], $A73, tbl_Actuals[month], i_Setup!$C$10)</f>
        <v>165</v>
      </c>
      <c r="F73" s="48">
        <f>SUMIFS(tbl_Budget[budget_avg_price], tbl_Budget[category], $A73, tbl_Budget[month], i_Setup!$C$10)</f>
        <v>97.117417582417588</v>
      </c>
      <c r="G73" s="48">
        <f>SUMIFS(tbl_Actuals[avg_price], tbl_Actuals[category], $A73, tbl_Actuals[month], i_Setup!$C$10)</f>
        <v>102.56818199999999</v>
      </c>
      <c r="H73" s="48">
        <f t="shared" si="5"/>
        <v>-1635.3885000000009</v>
      </c>
      <c r="I73" s="48">
        <f t="shared" si="6"/>
        <v>899.37612890109688</v>
      </c>
      <c r="J73" s="48">
        <f t="shared" si="7"/>
        <v>-2534.7645989010985</v>
      </c>
      <c r="K73">
        <f t="shared" si="8"/>
        <v>0</v>
      </c>
      <c r="L73" s="32" t="str">
        <f t="shared" si="9"/>
        <v/>
      </c>
      <c r="M73" s="32" t="str">
        <f>IF(L73="Unbudgeted",IF(H73&gt;=i_Setup!$C$13,"FLAG",""),IF(L73="No Activity","",IF(AND(ABS(H73)&gt;=i_Setup!$C$13,ABS(H73/B73)&gt;=i_Setup!$C$12),"FLAG","")))</f>
        <v/>
      </c>
      <c r="N73" t="str">
        <f>IF(M73="FLAG",COUNTIF($M$2:M73,"FLAG"),"")</f>
        <v/>
      </c>
    </row>
    <row r="74" spans="1:14" x14ac:dyDescent="0.25">
      <c r="A74" s="49" t="s">
        <v>33</v>
      </c>
      <c r="B74" s="48">
        <f>SUMIFS(tbl_Budget[budget_revenue],tbl_Budget[category],$A74,tbl_Budget[month],i_Setup!$C$10)</f>
        <v>5216.8725000000004</v>
      </c>
      <c r="C74" s="48">
        <f>SUMIFS(tbl_Actuals[revenue],tbl_Actuals[category],$A74, tbl_Actuals[month],i_Setup!$C$10)</f>
        <v>2199.0500000000002</v>
      </c>
      <c r="D74" s="50">
        <f>SUMIFS(tbl_Budget[budget_units],tbl_Budget[category],$A74,tbl_Budget[month],i_Setup!$C$10)</f>
        <v>78.75</v>
      </c>
      <c r="E74" s="50">
        <f>SUMIFS(tbl_Actuals[units], tbl_Actuals[category], $A74, tbl_Actuals[month], i_Setup!$C$10)</f>
        <v>31</v>
      </c>
      <c r="F74" s="48">
        <f>SUMIFS(tbl_Budget[budget_avg_price], tbl_Budget[category], $A74, tbl_Budget[month], i_Setup!$C$10)</f>
        <v>66.246000000000009</v>
      </c>
      <c r="G74" s="48">
        <f>SUMIFS(tbl_Actuals[avg_price], tbl_Actuals[category], $A74, tbl_Actuals[month], i_Setup!$C$10)</f>
        <v>70.937096999999994</v>
      </c>
      <c r="H74" s="48">
        <f t="shared" si="5"/>
        <v>-3017.8225000000002</v>
      </c>
      <c r="I74" s="48">
        <f t="shared" si="6"/>
        <v>145.42400699999953</v>
      </c>
      <c r="J74" s="48">
        <f t="shared" si="7"/>
        <v>-3163.2465000000007</v>
      </c>
      <c r="K74">
        <f t="shared" si="8"/>
        <v>0</v>
      </c>
      <c r="L74" s="32" t="str">
        <f t="shared" si="9"/>
        <v/>
      </c>
      <c r="M74" s="32" t="str">
        <f>IF(L74="Unbudgeted",IF(H74&gt;=i_Setup!$C$13,"FLAG",""),IF(L74="No Activity","",IF(AND(ABS(H74)&gt;=i_Setup!$C$13,ABS(H74/B74)&gt;=i_Setup!$C$12),"FLAG","")))</f>
        <v/>
      </c>
      <c r="N74" t="str">
        <f>IF(M74="FLAG",COUNTIF($M$2:M74,"FLAG"),"")</f>
        <v/>
      </c>
    </row>
    <row r="75" spans="1:14" x14ac:dyDescent="0.25">
      <c r="A75" s="49" t="s">
        <v>34</v>
      </c>
      <c r="B75" s="48">
        <f>SUMIFS(tbl_Budget[budget_revenue],tbl_Budget[category],$A75,tbl_Budget[month],i_Setup!$C$10)</f>
        <v>37979.497499999998</v>
      </c>
      <c r="C75" s="48">
        <f>SUMIFS(tbl_Actuals[revenue],tbl_Actuals[category],$A75, tbl_Actuals[month],i_Setup!$C$10)</f>
        <v>69767.06</v>
      </c>
      <c r="D75" s="50">
        <f>SUMIFS(tbl_Budget[budget_units],tbl_Budget[category],$A75,tbl_Budget[month],i_Setup!$C$10)</f>
        <v>221.55</v>
      </c>
      <c r="E75" s="50">
        <f>SUMIFS(tbl_Actuals[units], tbl_Actuals[category], $A75, tbl_Actuals[month], i_Setup!$C$10)</f>
        <v>411</v>
      </c>
      <c r="F75" s="48">
        <f>SUMIFS(tbl_Budget[budget_avg_price], tbl_Budget[category], $A75, tbl_Budget[month], i_Setup!$C$10)</f>
        <v>171.42630331753551</v>
      </c>
      <c r="G75" s="48">
        <f>SUMIFS(tbl_Actuals[avg_price], tbl_Actuals[category], $A75, tbl_Actuals[month], i_Setup!$C$10)</f>
        <v>169.749538</v>
      </c>
      <c r="H75" s="48">
        <f t="shared" si="5"/>
        <v>31787.5625</v>
      </c>
      <c r="I75" s="48">
        <f t="shared" si="6"/>
        <v>-689.15054550709556</v>
      </c>
      <c r="J75" s="48">
        <f t="shared" si="7"/>
        <v>32476.713163507102</v>
      </c>
      <c r="K75">
        <f t="shared" si="8"/>
        <v>0</v>
      </c>
      <c r="L75" s="32" t="str">
        <f t="shared" si="9"/>
        <v/>
      </c>
      <c r="M75" s="32" t="str">
        <f>IF(L75="Unbudgeted",IF(H75&gt;=i_Setup!$C$13,"FLAG",""),IF(L75="No Activity","",IF(AND(ABS(H75)&gt;=i_Setup!$C$13,ABS(H75/B75)&gt;=i_Setup!$C$12),"FLAG","")))</f>
        <v>FLAG</v>
      </c>
      <c r="N75">
        <f>IF(M75="FLAG",COUNTIF($M$2:M75,"FLAG"),"")</f>
        <v>18</v>
      </c>
    </row>
    <row r="76" spans="1:14" x14ac:dyDescent="0.25">
      <c r="A76" t="s">
        <v>122</v>
      </c>
      <c r="B76">
        <f>SUM(B2:B75)</f>
        <v>579864.94550000015</v>
      </c>
      <c r="C76" s="51">
        <f t="shared" ref="C76:E76" si="10">SUM(C2:C75)</f>
        <v>838576.64000000013</v>
      </c>
      <c r="D76" s="52">
        <f t="shared" si="10"/>
        <v>4996.5600000000004</v>
      </c>
      <c r="E76" s="52">
        <f t="shared" si="10"/>
        <v>7142</v>
      </c>
      <c r="F76" s="51"/>
      <c r="G76" s="51"/>
      <c r="H76" s="51">
        <f>SUM(H2:H75)</f>
        <v>258711.69450000001</v>
      </c>
      <c r="I76" s="51">
        <f t="shared" ref="I76:J76" si="11">SUM(I2:I75)</f>
        <v>21112.12270649393</v>
      </c>
      <c r="J76" s="51">
        <f t="shared" si="11"/>
        <v>230809.16226550608</v>
      </c>
      <c r="K76">
        <f>H76-I76-J76</f>
        <v>6790.4095280000183</v>
      </c>
      <c r="L76" t="s">
        <v>123</v>
      </c>
      <c r="N76">
        <f>ROUND(H76-I76-J76-K76,2)</f>
        <v>0</v>
      </c>
    </row>
  </sheetData>
  <conditionalFormatting sqref="M2:M75">
    <cfRule type="cellIs" dxfId="39" priority="1" operator="equal">
      <formula>"FLAG"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4C58-3C7D-49EE-A3C0-C5546F30BC5E}">
  <sheetPr>
    <tabColor rgb="FF1F3864"/>
  </sheetPr>
  <dimension ref="A1:G7"/>
  <sheetViews>
    <sheetView showGridLines="0" workbookViewId="0">
      <selection activeCell="P28" sqref="P28"/>
    </sheetView>
  </sheetViews>
  <sheetFormatPr defaultRowHeight="15" x14ac:dyDescent="0.25"/>
  <cols>
    <col min="1" max="1" width="37.7109375" bestFit="1" customWidth="1"/>
    <col min="2" max="2" width="12.140625" bestFit="1" customWidth="1"/>
    <col min="3" max="4" width="10.140625" bestFit="1" customWidth="1"/>
    <col min="5" max="5" width="10.7109375" bestFit="1" customWidth="1"/>
    <col min="6" max="6" width="8.28515625" customWidth="1"/>
  </cols>
  <sheetData>
    <row r="1" spans="1:7" ht="17.25" customHeight="1" x14ac:dyDescent="0.25">
      <c r="A1" s="53" t="s">
        <v>154</v>
      </c>
      <c r="B1" s="55">
        <f>i_Setup!$C$10</f>
        <v>43313</v>
      </c>
    </row>
    <row r="2" spans="1:7" ht="4.5" customHeight="1" x14ac:dyDescent="0.25">
      <c r="B2" s="55"/>
    </row>
    <row r="3" spans="1:7" x14ac:dyDescent="0.25">
      <c r="A3" s="43" t="s">
        <v>124</v>
      </c>
      <c r="B3" s="43" t="s">
        <v>125</v>
      </c>
      <c r="C3" s="43" t="s">
        <v>126</v>
      </c>
      <c r="D3" s="43" t="s">
        <v>127</v>
      </c>
      <c r="E3" s="43" t="s">
        <v>128</v>
      </c>
      <c r="F3" s="43" t="s">
        <v>121</v>
      </c>
      <c r="G3" s="43" t="s">
        <v>129</v>
      </c>
    </row>
    <row r="4" spans="1:7" x14ac:dyDescent="0.25">
      <c r="A4" t="s">
        <v>94</v>
      </c>
      <c r="B4" s="48">
        <f>SUMIFS(tbl_Opex[budget],tbl_Opex[line_item],$A4,tbl_Opex[month],i_Setup!$C$10)</f>
        <v>45000</v>
      </c>
      <c r="C4" s="48">
        <f>SUMIFS(tbl_Opex[actual],tbl_Opex[line_item],$A4,tbl_Opex[month],i_Setup!$C$10)</f>
        <v>44582.924076468786</v>
      </c>
      <c r="D4" s="48">
        <f>IF(AND(B4=0,C4=0),"",C4-B4)</f>
        <v>-417.07592353121436</v>
      </c>
      <c r="E4" s="47">
        <f>IF(AND(B4=0,C4=0),"",IF(B4=0,"",D4/B4))</f>
        <v>-9.2683538562492087E-3</v>
      </c>
      <c r="F4" s="32" t="str">
        <f>IF(AND(B4=0,C4=0),"No Data — Nov-2017 excluded (YoY anchor had zero delivered orders)","")</f>
        <v/>
      </c>
      <c r="G4" s="32" t="str">
        <f>IF(F4&lt;&gt;"","",IF(AND(ABS(D4)&gt;=i_Setup!$C$11,ABS(E4)&gt;=i_Setup!$C$12),"FLAG",""))</f>
        <v/>
      </c>
    </row>
    <row r="5" spans="1:7" x14ac:dyDescent="0.25">
      <c r="A5" t="s">
        <v>95</v>
      </c>
      <c r="B5" s="48">
        <f>SUMIFS(tbl_Opex[budget],tbl_Opex[line_item],$A5,tbl_Opex[month],i_Setup!$C$10)</f>
        <v>8000</v>
      </c>
      <c r="C5" s="48">
        <f>SUMIFS(tbl_Opex[actual],tbl_Opex[line_item],$A5,tbl_Opex[month],i_Setup!$C$10)</f>
        <v>7981.9378959610767</v>
      </c>
      <c r="D5" s="48">
        <f t="shared" ref="D5:D7" si="0">IF(AND(B5=0,C5=0),"",C5-B5)</f>
        <v>-18.06210403892328</v>
      </c>
      <c r="E5" s="47">
        <f t="shared" ref="E5:E7" si="1">IF(AND(B5=0,C5=0),"",IF(B5=0,"",D5/B5))</f>
        <v>-2.25776300486541E-3</v>
      </c>
      <c r="F5" s="32" t="str">
        <f t="shared" ref="F5:F7" si="2">IF(AND(B5=0,C5=0),"No Data — Nov-2017 excluded (YoY anchor had zero delivered orders)","")</f>
        <v/>
      </c>
      <c r="G5" s="32" t="str">
        <f>IF(F5&lt;&gt;"","",IF(AND(ABS(D5)&gt;=i_Setup!$C$11,ABS(E5)&gt;=i_Setup!$C$12),"FLAG",""))</f>
        <v/>
      </c>
    </row>
    <row r="6" spans="1:7" x14ac:dyDescent="0.25">
      <c r="A6" t="s">
        <v>92</v>
      </c>
      <c r="B6" s="48">
        <f>SUMIFS(tbl_Opex[budget],tbl_Opex[line_item],$A6,tbl_Opex[month],i_Setup!$C$10)</f>
        <v>34791.89673</v>
      </c>
      <c r="C6" s="48">
        <f>SUMIFS(tbl_Opex[actual],tbl_Opex[line_item],$A6,tbl_Opex[month],i_Setup!$C$10)</f>
        <v>34721.457622616428</v>
      </c>
      <c r="D6" s="48">
        <f t="shared" si="0"/>
        <v>-70.439107383572264</v>
      </c>
      <c r="E6" s="47">
        <f t="shared" si="1"/>
        <v>-2.0245837106901607E-3</v>
      </c>
      <c r="F6" s="32" t="str">
        <f t="shared" si="2"/>
        <v/>
      </c>
      <c r="G6" s="32" t="str">
        <f>IF(F6&lt;&gt;"","",IF(AND(ABS(D6)&gt;=i_Setup!$C$11,ABS(E6)&gt;=i_Setup!$C$12),"FLAG",""))</f>
        <v/>
      </c>
    </row>
    <row r="7" spans="1:7" x14ac:dyDescent="0.25">
      <c r="A7" t="s">
        <v>93</v>
      </c>
      <c r="B7" s="48">
        <f>SUMIFS(tbl_Opex[budget],tbl_Opex[line_item],$A7,tbl_Opex[month],i_Setup!$C$10)</f>
        <v>22484.52</v>
      </c>
      <c r="C7" s="48">
        <f>SUMIFS(tbl_Opex[actual],tbl_Opex[line_item],$A7,tbl_Opex[month],i_Setup!$C$10)</f>
        <v>21942.906234755897</v>
      </c>
      <c r="D7" s="48">
        <f t="shared" si="0"/>
        <v>-541.61376524410298</v>
      </c>
      <c r="E7" s="47">
        <f t="shared" si="1"/>
        <v>-2.4088295647143144E-2</v>
      </c>
      <c r="F7" s="32" t="str">
        <f t="shared" si="2"/>
        <v/>
      </c>
      <c r="G7" s="32" t="str">
        <f>IF(F7&lt;&gt;"","",IF(AND(ABS(D7)&gt;=i_Setup!$C$11,ABS(E7)&gt;=i_Setup!$C$12),"FLAG",""))</f>
        <v/>
      </c>
    </row>
  </sheetData>
  <conditionalFormatting sqref="D4:D7">
    <cfRule type="cellIs" dxfId="26" priority="2" operator="greaterThan">
      <formula>0</formula>
    </cfRule>
    <cfRule type="cellIs" dxfId="25" priority="3" operator="lessThan">
      <formula>0</formula>
    </cfRule>
  </conditionalFormatting>
  <conditionalFormatting sqref="G4:G7">
    <cfRule type="cellIs" dxfId="24" priority="1" stopIfTrue="1" operator="equal">
      <formula>"FLAG"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F0E2-902B-443B-B522-6648910BCC78}">
  <sheetPr>
    <tabColor rgb="FFBF8F00"/>
  </sheetPr>
  <dimension ref="B1:U31"/>
  <sheetViews>
    <sheetView showGridLines="0" tabSelected="1" zoomScaleNormal="100" workbookViewId="0">
      <selection activeCell="U20" sqref="U20"/>
    </sheetView>
  </sheetViews>
  <sheetFormatPr defaultRowHeight="15" x14ac:dyDescent="0.25"/>
  <cols>
    <col min="1" max="1" width="2.28515625" customWidth="1"/>
    <col min="2" max="2" width="24.42578125" style="6" bestFit="1" customWidth="1"/>
    <col min="3" max="3" width="15.7109375" customWidth="1"/>
    <col min="4" max="4" width="20.7109375" customWidth="1"/>
    <col min="5" max="5" width="15.7109375" customWidth="1"/>
    <col min="6" max="6" width="21.85546875" customWidth="1"/>
    <col min="7" max="7" width="15.7109375" customWidth="1"/>
    <col min="8" max="8" width="21" customWidth="1"/>
    <col min="9" max="9" width="16" customWidth="1"/>
    <col min="10" max="10" width="21.7109375" customWidth="1"/>
    <col min="11" max="11" width="13.7109375" customWidth="1"/>
    <col min="12" max="12" width="11" customWidth="1"/>
    <col min="13" max="13" width="10.7109375" customWidth="1"/>
    <col min="14" max="14" width="9.85546875" bestFit="1" customWidth="1"/>
  </cols>
  <sheetData>
    <row r="1" spans="2:12" ht="10.5" customHeight="1" x14ac:dyDescent="0.25">
      <c r="B1"/>
    </row>
    <row r="2" spans="2:12" ht="28.5" customHeight="1" x14ac:dyDescent="0.45">
      <c r="B2" s="68" t="s">
        <v>143</v>
      </c>
      <c r="C2" s="68"/>
      <c r="D2" s="68"/>
      <c r="E2" s="68"/>
      <c r="F2" s="68"/>
      <c r="G2" s="68"/>
      <c r="H2" s="68"/>
      <c r="I2" s="68"/>
      <c r="J2" s="68"/>
    </row>
    <row r="3" spans="2:12" ht="20.25" customHeight="1" x14ac:dyDescent="0.25">
      <c r="B3" s="7" t="s">
        <v>144</v>
      </c>
      <c r="C3" s="8">
        <v>43313</v>
      </c>
    </row>
    <row r="4" spans="2:12" ht="11.25" customHeight="1" x14ac:dyDescent="0.25">
      <c r="B4"/>
    </row>
    <row r="5" spans="2:12" ht="21" customHeight="1" x14ac:dyDescent="0.25">
      <c r="B5" s="10" t="s">
        <v>145</v>
      </c>
      <c r="D5" s="10" t="s">
        <v>146</v>
      </c>
      <c r="F5" s="10" t="s">
        <v>147</v>
      </c>
      <c r="H5" s="10" t="s">
        <v>148</v>
      </c>
      <c r="J5" s="10" t="s">
        <v>149</v>
      </c>
    </row>
    <row r="6" spans="2:12" ht="6" customHeight="1" x14ac:dyDescent="0.25">
      <c r="B6"/>
    </row>
    <row r="7" spans="2:12" ht="26.25" x14ac:dyDescent="0.25">
      <c r="B7" s="26">
        <f>c_RevenuePVM!H76</f>
        <v>258711.69450000001</v>
      </c>
      <c r="D7" s="27">
        <f>SUM(c_OpexFlux!D4:D7)</f>
        <v>-1047.1909001978129</v>
      </c>
      <c r="F7" s="28">
        <f>c_RevenuePVM!P2</f>
        <v>0</v>
      </c>
      <c r="H7" s="28">
        <f>COUNTIF(c_OpexFlux!G4:G7,"FLAG")</f>
        <v>0</v>
      </c>
      <c r="J7" s="29">
        <v>1.2999999999999999E-2</v>
      </c>
    </row>
    <row r="8" spans="2:12" x14ac:dyDescent="0.25">
      <c r="B8" s="25">
        <f>(B7/c_RevenuePVM!B76)</f>
        <v>0.4461585348583551</v>
      </c>
      <c r="L8" s="9"/>
    </row>
    <row r="9" spans="2:12" x14ac:dyDescent="0.25">
      <c r="B9"/>
      <c r="L9" s="9"/>
    </row>
    <row r="10" spans="2:12" ht="17.25" x14ac:dyDescent="0.3">
      <c r="B10" s="69" t="s">
        <v>150</v>
      </c>
      <c r="C10" s="69"/>
      <c r="D10" s="69"/>
      <c r="E10" s="69"/>
    </row>
    <row r="11" spans="2:12" ht="24.75" customHeight="1" x14ac:dyDescent="0.25">
      <c r="B11" s="11" t="s">
        <v>151</v>
      </c>
      <c r="C11" s="12" t="s">
        <v>111</v>
      </c>
      <c r="D11" s="12" t="s">
        <v>112</v>
      </c>
      <c r="E11" s="12" t="s">
        <v>152</v>
      </c>
    </row>
    <row r="12" spans="2:12" x14ac:dyDescent="0.25">
      <c r="B12" s="13">
        <v>42979</v>
      </c>
      <c r="C12" s="14">
        <f>SUMIFS(tbl_Budget[budget_revenue],tbl_Budget[month],B12)</f>
        <v>141.71850000000001</v>
      </c>
      <c r="D12" s="14">
        <f>SUMIFS(tbl_Actuals[revenue],tbl_Actuals[month],B12)</f>
        <v>607399.66999999993</v>
      </c>
      <c r="E12" s="15">
        <f>IF(C12=0,"",(D12-C12)/C12)</f>
        <v>4284.9589256166273</v>
      </c>
    </row>
    <row r="13" spans="2:12" x14ac:dyDescent="0.25">
      <c r="B13" s="16">
        <v>43009</v>
      </c>
      <c r="C13" s="17">
        <f>SUMIFS(tbl_Budget[budget_revenue],tbl_Budget[month],B13)</f>
        <v>42066.223300000012</v>
      </c>
      <c r="D13" s="17">
        <f>SUMIFS(tbl_Actuals[revenue],tbl_Actuals[month],B13)</f>
        <v>648247.65</v>
      </c>
      <c r="E13" s="18">
        <f t="shared" ref="E13:E23" si="0">IF(C13=0,"",(D13-C13)/C13)</f>
        <v>14.410169945063734</v>
      </c>
    </row>
    <row r="14" spans="2:12" x14ac:dyDescent="0.25">
      <c r="B14" s="16">
        <v>43040</v>
      </c>
      <c r="C14" s="17">
        <f>SUMIFS(tbl_Budget[budget_revenue],tbl_Budget[month],B14)</f>
        <v>0</v>
      </c>
      <c r="D14" s="17">
        <f>SUMIFS(tbl_Actuals[revenue],tbl_Actuals[month],B14)</f>
        <v>987765.37</v>
      </c>
      <c r="E14" s="18" t="str">
        <f>IF(C14=0,"N/A",(D14-C14)/C14)</f>
        <v>N/A</v>
      </c>
    </row>
    <row r="15" spans="2:12" x14ac:dyDescent="0.25">
      <c r="B15" s="16">
        <v>43070</v>
      </c>
      <c r="C15" s="17">
        <f>SUMIFS(tbl_Budget[budget_revenue],tbl_Budget[month],B15)</f>
        <v>11.445</v>
      </c>
      <c r="D15" s="17">
        <f>SUMIFS(tbl_Actuals[revenue],tbl_Actuals[month],B15)</f>
        <v>726033.19000000018</v>
      </c>
      <c r="E15" s="18">
        <f t="shared" si="0"/>
        <v>63435.713848842308</v>
      </c>
      <c r="I15" s="4"/>
    </row>
    <row r="16" spans="2:12" x14ac:dyDescent="0.25">
      <c r="B16" s="19">
        <v>43101</v>
      </c>
      <c r="C16" s="20">
        <f>SUMIFS(tbl_Budget[budget_revenue],tbl_Budget[month],B16)</f>
        <v>116733.08949999999</v>
      </c>
      <c r="D16" s="20">
        <f>SUMIFS(tbl_Actuals[revenue],tbl_Actuals[month],B16)</f>
        <v>924644.99999999977</v>
      </c>
      <c r="E16" s="21">
        <f t="shared" si="0"/>
        <v>6.921018829883705</v>
      </c>
    </row>
    <row r="17" spans="2:21" x14ac:dyDescent="0.25">
      <c r="B17" s="19">
        <v>43132</v>
      </c>
      <c r="C17" s="20">
        <f>SUMIFS(tbl_Budget[budget_revenue],tbl_Budget[month],B17)</f>
        <v>240801.43730000005</v>
      </c>
      <c r="D17" s="20">
        <f>SUMIFS(tbl_Actuals[revenue],tbl_Actuals[month],B17)</f>
        <v>826437.13000000012</v>
      </c>
      <c r="E17" s="21">
        <f t="shared" si="0"/>
        <v>2.4320273967899606</v>
      </c>
    </row>
    <row r="18" spans="2:21" x14ac:dyDescent="0.25">
      <c r="B18" s="19">
        <v>43160</v>
      </c>
      <c r="C18" s="20">
        <f>SUMIFS(tbl_Budget[budget_revenue],tbl_Budget[month],B18)</f>
        <v>375671.01160000009</v>
      </c>
      <c r="D18" s="20">
        <f>SUMIFS(tbl_Actuals[revenue],tbl_Actuals[month],B18)</f>
        <v>953356.25</v>
      </c>
      <c r="E18" s="21">
        <f t="shared" si="0"/>
        <v>1.5377423877866221</v>
      </c>
    </row>
    <row r="19" spans="2:21" x14ac:dyDescent="0.25">
      <c r="B19" s="19">
        <v>43191</v>
      </c>
      <c r="C19" s="20">
        <f>SUMIFS(tbl_Budget[budget_revenue],tbl_Budget[month],B19)</f>
        <v>355963.84749999997</v>
      </c>
      <c r="D19" s="20">
        <f>SUMIFS(tbl_Actuals[revenue],tbl_Actuals[month],B19)</f>
        <v>973534.09000000032</v>
      </c>
      <c r="E19" s="21">
        <f t="shared" si="0"/>
        <v>1.7349240571403826</v>
      </c>
    </row>
    <row r="20" spans="2:21" x14ac:dyDescent="0.25">
      <c r="B20" s="19">
        <v>43221</v>
      </c>
      <c r="C20" s="20">
        <f>SUMIFS(tbl_Budget[budget_revenue],tbl_Budget[month],B20)</f>
        <v>511314.39409999998</v>
      </c>
      <c r="D20" s="20">
        <f>SUMIFS(tbl_Actuals[revenue],tbl_Actuals[month],B20)</f>
        <v>977544.68999999983</v>
      </c>
      <c r="E20" s="21">
        <f t="shared" si="0"/>
        <v>0.9118270505970093</v>
      </c>
    </row>
    <row r="21" spans="2:21" x14ac:dyDescent="0.25">
      <c r="B21" s="19">
        <v>43252</v>
      </c>
      <c r="C21" s="20">
        <f>SUMIFS(tbl_Budget[budget_revenue],tbl_Budget[month],B21)</f>
        <v>441279.47870000004</v>
      </c>
      <c r="D21" s="20">
        <f>SUMIFS(tbl_Actuals[revenue],tbl_Actuals[month],B21)</f>
        <v>856077.8600000001</v>
      </c>
      <c r="E21" s="21">
        <f t="shared" si="0"/>
        <v>0.93999019062021028</v>
      </c>
    </row>
    <row r="22" spans="2:21" x14ac:dyDescent="0.25">
      <c r="B22" s="19">
        <v>43282</v>
      </c>
      <c r="C22" s="20">
        <f>SUMIFS(tbl_Budget[budget_revenue],tbl_Budget[month],B22)</f>
        <v>502127.61959999998</v>
      </c>
      <c r="D22" s="20">
        <f>SUMIFS(tbl_Actuals[revenue],tbl_Actuals[month],B22)</f>
        <v>867953.4600000002</v>
      </c>
      <c r="E22" s="21">
        <f t="shared" si="0"/>
        <v>0.72855151981366972</v>
      </c>
    </row>
    <row r="23" spans="2:21" x14ac:dyDescent="0.25">
      <c r="B23" s="22">
        <v>43313</v>
      </c>
      <c r="C23" s="23">
        <f>SUMIFS(tbl_Budget[budget_revenue],tbl_Budget[month],B23)</f>
        <v>579864.94550000015</v>
      </c>
      <c r="D23" s="23">
        <f>SUMIFS(tbl_Actuals[revenue],tbl_Actuals[month],B23)</f>
        <v>838576.64000000013</v>
      </c>
      <c r="E23" s="24">
        <f t="shared" si="0"/>
        <v>0.4461585348583551</v>
      </c>
    </row>
    <row r="24" spans="2:21" ht="8.25" customHeight="1" x14ac:dyDescent="0.25"/>
    <row r="25" spans="2:21" ht="15" customHeight="1" x14ac:dyDescent="0.25">
      <c r="B25" s="70" t="s">
        <v>153</v>
      </c>
      <c r="C25" s="70"/>
      <c r="D25" s="70"/>
      <c r="E25" s="70"/>
      <c r="F25" s="70"/>
      <c r="G25" s="70"/>
      <c r="H25" s="70"/>
      <c r="I25" s="70"/>
      <c r="J25" s="70"/>
    </row>
    <row r="26" spans="2:21" ht="18" customHeight="1" x14ac:dyDescent="0.25">
      <c r="B26" s="70"/>
      <c r="C26" s="70"/>
      <c r="D26" s="70"/>
      <c r="E26" s="70"/>
      <c r="F26" s="70"/>
      <c r="G26" s="70"/>
      <c r="H26" s="70"/>
      <c r="I26" s="70"/>
      <c r="J26" s="70"/>
      <c r="K26" s="6"/>
      <c r="L26" s="6"/>
    </row>
    <row r="27" spans="2:21" x14ac:dyDescent="0.25">
      <c r="C27" s="6"/>
      <c r="D27" s="6"/>
      <c r="E27" s="6"/>
      <c r="F27" s="6"/>
      <c r="G27" s="6"/>
      <c r="H27" s="6"/>
      <c r="I27" s="6"/>
      <c r="J27" s="6"/>
      <c r="K27" s="6"/>
      <c r="L27" s="6"/>
    </row>
    <row r="29" spans="2:21" ht="15" customHeight="1" x14ac:dyDescent="0.25">
      <c r="B2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P29" s="1"/>
    </row>
    <row r="31" spans="2:21" x14ac:dyDescent="0.25">
      <c r="B31"/>
      <c r="U31" s="5"/>
    </row>
  </sheetData>
  <mergeCells count="3">
    <mergeCell ref="B2:J2"/>
    <mergeCell ref="B10:E10"/>
    <mergeCell ref="B25:J26"/>
  </mergeCells>
  <conditionalFormatting sqref="B7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D7">
    <cfRule type="cellIs" dxfId="19" priority="1" operator="lessThan">
      <formula>0</formula>
    </cfRule>
    <cfRule type="cellIs" dxfId="18" priority="2" operator="greaterThan">
      <formula>0</formula>
    </cfRule>
  </conditionalFormatting>
  <dataValidations count="1">
    <dataValidation type="list" allowBlank="1" showInputMessage="1" showErrorMessage="1" sqref="C3" xr:uid="{2AFC4103-571E-4E39-ABA6-C70890494A6F}">
      <formula1>MonthList</formula1>
    </dataValidation>
  </dataValidations>
  <pageMargins left="0.7" right="0.7" top="0.75" bottom="0.75" header="0.3" footer="0.3"/>
  <pageSetup orientation="portrait" r:id="rId1"/>
  <ignoredErrors>
    <ignoredError sqref="E14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9E7E-781D-4C78-ADCC-B38FE21CD867}">
  <sheetPr>
    <tabColor rgb="FFBF8F00"/>
  </sheetPr>
  <dimension ref="A1:B16"/>
  <sheetViews>
    <sheetView showGridLines="0" zoomScale="90" zoomScaleNormal="90" workbookViewId="0">
      <selection activeCell="S5" sqref="S5"/>
    </sheetView>
  </sheetViews>
  <sheetFormatPr defaultRowHeight="15" x14ac:dyDescent="0.25"/>
  <cols>
    <col min="1" max="1" width="28.140625" customWidth="1"/>
    <col min="2" max="2" width="12" bestFit="1" customWidth="1"/>
  </cols>
  <sheetData>
    <row r="1" spans="1:2" ht="15.75" x14ac:dyDescent="0.25">
      <c r="A1" s="53" t="str">
        <f>"Revenue Bridge - "&amp;TEXT(i_Setup!$C$10,"mmm-yyyy")</f>
        <v>Revenue Bridge - Aug-2018</v>
      </c>
      <c r="B1" s="1"/>
    </row>
    <row r="2" spans="1:2" ht="8.25" customHeight="1" x14ac:dyDescent="0.25"/>
    <row r="3" spans="1:2" x14ac:dyDescent="0.25">
      <c r="A3" s="56" t="s">
        <v>130</v>
      </c>
      <c r="B3" s="57" t="s">
        <v>132</v>
      </c>
    </row>
    <row r="4" spans="1:2" x14ac:dyDescent="0.25">
      <c r="A4" s="58" t="s">
        <v>111</v>
      </c>
      <c r="B4" s="59">
        <f>c_RevenuePVM!B76</f>
        <v>579864.94550000015</v>
      </c>
    </row>
    <row r="5" spans="1:2" x14ac:dyDescent="0.25">
      <c r="A5" s="60" t="s">
        <v>118</v>
      </c>
      <c r="B5" s="61">
        <f>c_RevenuePVM!I76</f>
        <v>21112.12270649393</v>
      </c>
    </row>
    <row r="6" spans="1:2" x14ac:dyDescent="0.25">
      <c r="A6" s="60" t="s">
        <v>119</v>
      </c>
      <c r="B6" s="61">
        <f>c_RevenuePVM!J76</f>
        <v>230809.16226550608</v>
      </c>
    </row>
    <row r="7" spans="1:2" x14ac:dyDescent="0.25">
      <c r="A7" s="60" t="s">
        <v>131</v>
      </c>
      <c r="B7" s="61">
        <f>c_RevenuePVM!K76</f>
        <v>6790.4095280000183</v>
      </c>
    </row>
    <row r="8" spans="1:2" x14ac:dyDescent="0.25">
      <c r="A8" s="62" t="s">
        <v>112</v>
      </c>
      <c r="B8" s="63">
        <f>c_RevenuePVM!C76</f>
        <v>838576.64000000013</v>
      </c>
    </row>
    <row r="10" spans="1:2" ht="15.75" x14ac:dyDescent="0.25">
      <c r="A10" s="53" t="str">
        <f>"OpEx $ Variance - "&amp;TEXT(i_Setup!$C$10,"mmm-yyyy")</f>
        <v>OpEx $ Variance - Aug-2018</v>
      </c>
    </row>
    <row r="11" spans="1:2" ht="6" customHeight="1" x14ac:dyDescent="0.25"/>
    <row r="12" spans="1:2" x14ac:dyDescent="0.25">
      <c r="A12" s="56" t="s">
        <v>124</v>
      </c>
      <c r="B12" s="57" t="s">
        <v>127</v>
      </c>
    </row>
    <row r="13" spans="1:2" x14ac:dyDescent="0.25">
      <c r="A13" s="64" t="s">
        <v>133</v>
      </c>
      <c r="B13" s="61">
        <f>c_OpexFlux!D4</f>
        <v>-417.07592353121436</v>
      </c>
    </row>
    <row r="14" spans="1:2" x14ac:dyDescent="0.25">
      <c r="A14" s="64" t="s">
        <v>134</v>
      </c>
      <c r="B14" s="61">
        <f>c_OpexFlux!D5</f>
        <v>-18.06210403892328</v>
      </c>
    </row>
    <row r="15" spans="1:2" x14ac:dyDescent="0.25">
      <c r="A15" s="64" t="s">
        <v>135</v>
      </c>
      <c r="B15" s="61">
        <f>c_OpexFlux!D6</f>
        <v>-70.439107383572264</v>
      </c>
    </row>
    <row r="16" spans="1:2" x14ac:dyDescent="0.25">
      <c r="A16" s="65" t="s">
        <v>136</v>
      </c>
      <c r="B16" s="66">
        <f>c_OpexFlux!D7</f>
        <v>-541.61376524410298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E980-DBEE-4821-8487-C5D14505B341}">
  <sheetPr>
    <tabColor rgb="FFBF8F00"/>
  </sheetPr>
  <dimension ref="A1:H30"/>
  <sheetViews>
    <sheetView showGridLines="0" zoomScaleNormal="100" workbookViewId="0">
      <selection activeCell="J16" sqref="J16"/>
    </sheetView>
  </sheetViews>
  <sheetFormatPr defaultRowHeight="15" x14ac:dyDescent="0.25"/>
  <cols>
    <col min="1" max="1" width="44.7109375" bestFit="1" customWidth="1"/>
    <col min="2" max="2" width="33.140625" bestFit="1" customWidth="1"/>
    <col min="3" max="3" width="12.140625" bestFit="1" customWidth="1"/>
    <col min="4" max="4" width="11.140625" bestFit="1" customWidth="1"/>
    <col min="5" max="5" width="12.140625" bestFit="1" customWidth="1"/>
    <col min="6" max="6" width="13.7109375" bestFit="1" customWidth="1"/>
    <col min="7" max="7" width="13.140625" bestFit="1" customWidth="1"/>
    <col min="8" max="8" width="21.28515625" customWidth="1"/>
  </cols>
  <sheetData>
    <row r="1" spans="1:8" ht="18.75" x14ac:dyDescent="0.3">
      <c r="A1" s="54" t="s">
        <v>155</v>
      </c>
      <c r="B1" s="55">
        <f>i_Setup!C10</f>
        <v>43313</v>
      </c>
    </row>
    <row r="2" spans="1:8" ht="9" customHeight="1" x14ac:dyDescent="0.25"/>
    <row r="3" spans="1:8" x14ac:dyDescent="0.25">
      <c r="A3" s="43" t="s">
        <v>137</v>
      </c>
      <c r="B3" s="43" t="s">
        <v>138</v>
      </c>
      <c r="C3" s="43" t="s">
        <v>125</v>
      </c>
      <c r="D3" s="43" t="s">
        <v>126</v>
      </c>
      <c r="E3" s="43" t="s">
        <v>127</v>
      </c>
      <c r="F3" s="43" t="s">
        <v>128</v>
      </c>
      <c r="G3" s="43" t="s">
        <v>139</v>
      </c>
      <c r="H3" s="43" t="s">
        <v>140</v>
      </c>
    </row>
    <row r="4" spans="1:8" ht="16.5" customHeight="1" x14ac:dyDescent="0.25">
      <c r="A4" t="str">
        <f>IF(c_OpexFlux!G4="FLAG","OpEx","")</f>
        <v/>
      </c>
      <c r="B4" t="str">
        <f>IF(c_OpexFlux!G4="FLAG",c_OpexFlux!A4,"")</f>
        <v/>
      </c>
      <c r="C4" s="48" t="str">
        <f>IF(c_OpexFlux!G4="FLAG",c_OpexFlux!B4,"")</f>
        <v/>
      </c>
      <c r="D4" s="48" t="str">
        <f>IF(c_OpexFlux!G4="FLAG",c_OpexFlux!C4,"")</f>
        <v/>
      </c>
      <c r="E4" s="48" t="str">
        <f>IF(c_OpexFlux!G4="FLAG",c_OpexFlux!D4,"")</f>
        <v/>
      </c>
      <c r="F4" t="str">
        <f>IF(c_OpexFlux!G4="FLAG",c_OpexFlux!E4,"")</f>
        <v/>
      </c>
      <c r="G4" t="str">
        <f>IF(c_OpexFlux!G4="FLAG",IF(c_OpexFlux!D4&gt;0,"Unfavorable","Favorable"),"")</f>
        <v/>
      </c>
    </row>
    <row r="5" spans="1:8" x14ac:dyDescent="0.25">
      <c r="A5" t="str">
        <f>IF(c_OpexFlux!G5="FLAG","OpEx","")</f>
        <v/>
      </c>
      <c r="B5" t="str">
        <f>IF(c_OpexFlux!G5="FLAG",c_OpexFlux!A5,"")</f>
        <v/>
      </c>
      <c r="C5" s="48" t="str">
        <f>IF(c_OpexFlux!G5="FLAG",c_OpexFlux!B5,"")</f>
        <v/>
      </c>
      <c r="D5" s="48" t="str">
        <f>IF(c_OpexFlux!G5="FLAG",c_OpexFlux!C5,"")</f>
        <v/>
      </c>
      <c r="E5" s="48" t="str">
        <f>IF(c_OpexFlux!G5="FLAG",c_OpexFlux!D5,"")</f>
        <v/>
      </c>
      <c r="F5" t="str">
        <f>IF(c_OpexFlux!G5="FLAG",c_OpexFlux!E5,"")</f>
        <v/>
      </c>
      <c r="G5" t="str">
        <f>IF(c_OpexFlux!G5="FLAG",IF(c_OpexFlux!D5&gt;0,"Unfavorable","Favorable"),"")</f>
        <v/>
      </c>
      <c r="H5" t="str">
        <f>IF(c_OpexFlux!N5="FLAG","OpEx","")</f>
        <v/>
      </c>
    </row>
    <row r="6" spans="1:8" x14ac:dyDescent="0.25">
      <c r="A6" t="str">
        <f>IF(c_OpexFlux!G6="FLAG","OpEx","")</f>
        <v/>
      </c>
      <c r="B6" t="str">
        <f>IF(c_OpexFlux!G6="FLAG",c_OpexFlux!A6,"")</f>
        <v/>
      </c>
      <c r="C6" s="48" t="str">
        <f>IF(c_OpexFlux!G6="FLAG",c_OpexFlux!B6,"")</f>
        <v/>
      </c>
      <c r="D6" s="48" t="str">
        <f>IF(c_OpexFlux!G6="FLAG",c_OpexFlux!C6,"")</f>
        <v/>
      </c>
      <c r="E6" s="48" t="str">
        <f>IF(c_OpexFlux!G6="FLAG",c_OpexFlux!D6,"")</f>
        <v/>
      </c>
      <c r="F6" t="str">
        <f>IF(c_OpexFlux!G6="FLAG",c_OpexFlux!E6,"")</f>
        <v/>
      </c>
      <c r="G6" t="str">
        <f>IF(c_OpexFlux!G6="FLAG",IF(c_OpexFlux!D6&gt;0,"Unfavorable","Favorable"),"")</f>
        <v/>
      </c>
      <c r="H6" t="str">
        <f>IF(c_OpexFlux!N6="FLAG","OpEx","")</f>
        <v/>
      </c>
    </row>
    <row r="7" spans="1:8" x14ac:dyDescent="0.25">
      <c r="A7" t="str">
        <f>IF(c_OpexFlux!G7="FLAG","OpEx","")</f>
        <v/>
      </c>
      <c r="B7" t="str">
        <f>IF(c_OpexFlux!G7="FLAG",c_OpexFlux!A7,"")</f>
        <v/>
      </c>
      <c r="C7" s="48" t="str">
        <f>IF(c_OpexFlux!G7="FLAG",c_OpexFlux!B7,"")</f>
        <v/>
      </c>
      <c r="D7" s="48" t="str">
        <f>IF(c_OpexFlux!G7="FLAG",c_OpexFlux!C7,"")</f>
        <v/>
      </c>
      <c r="E7" s="48" t="str">
        <f>IF(c_OpexFlux!G7="FLAG",c_OpexFlux!D7,"")</f>
        <v/>
      </c>
      <c r="F7" t="str">
        <f>IF(c_OpexFlux!G7="FLAG",c_OpexFlux!E7,"")</f>
        <v/>
      </c>
      <c r="G7" t="str">
        <f>IF(c_OpexFlux!G7="FLAG",IF(c_OpexFlux!D7&gt;0,"Unfavorable","Favorable"),"")</f>
        <v/>
      </c>
      <c r="H7" t="str">
        <f>IF(c_OpexFlux!N7="FLAG","OpEx","")</f>
        <v/>
      </c>
    </row>
    <row r="8" spans="1:8" x14ac:dyDescent="0.25">
      <c r="A8" t="str">
        <f>IF(B8&lt;&gt;"","Revenue","")</f>
        <v>Revenue</v>
      </c>
      <c r="B8" t="str">
        <f>IFERROR(INDEX(c_RevenuePVM!$A$2:$A$75,MATCH(ROWS($B$8:B8),c_RevenuePVM!$N$2:$N$75,0)),"")</f>
        <v>auto</v>
      </c>
      <c r="C8" s="48">
        <f>IF($B8="","",SUMIFS(tbl_Budget[budget_revenue],tbl_Budget[category],$B8,tbl_Budget[month],i_Setup!$C$10))</f>
        <v>19868.7405</v>
      </c>
      <c r="D8" s="48">
        <f>IF($B8="","",SUMIFS(tbl_Actuals[revenue],tbl_Actuals[category],$B8,tbl_Actuals[month],i_Setup!$C$10))</f>
        <v>45032.58</v>
      </c>
      <c r="E8" s="48">
        <f>IF($B8="","",D8-C8)</f>
        <v>25163.839500000002</v>
      </c>
      <c r="F8" s="47">
        <f>IF($B8="","",IF(C8=0,"",E8/C8))</f>
        <v>1.2665040091494477</v>
      </c>
      <c r="G8" t="str">
        <f>IF($B8="","",IF(E8&gt;0,"Favorable","Unfavorable"))</f>
        <v>Favorable</v>
      </c>
    </row>
    <row r="9" spans="1:8" x14ac:dyDescent="0.25">
      <c r="A9" t="str">
        <f t="shared" ref="A9:A30" si="0">IF(B9&lt;&gt;"","Revenue","")</f>
        <v>Revenue</v>
      </c>
      <c r="B9" t="str">
        <f>IFERROR(INDEX(c_RevenuePVM!$A$2:$A$75,MATCH(ROWS($B$8:B9),c_RevenuePVM!$N$2:$N$75,0)),"")</f>
        <v>computers</v>
      </c>
      <c r="C9" s="48">
        <f>IF($B9="","",SUMIFS(tbl_Budget[budget_revenue],tbl_Budget[category],$B9,tbl_Budget[month],i_Setup!$C$10))</f>
        <v>35640</v>
      </c>
      <c r="D9" s="48">
        <f>IF($B9="","",SUMIFS(tbl_Actuals[revenue],tbl_Actuals[category],$B9,tbl_Actuals[month],i_Setup!$C$10))</f>
        <v>8711.5</v>
      </c>
      <c r="E9" s="48">
        <f t="shared" ref="E9:E30" si="1">IF($B9="","",D9-C9)</f>
        <v>-26928.5</v>
      </c>
      <c r="F9" s="47">
        <f t="shared" ref="F9:F30" si="2">IF($B9="","",IF(C9=0,"",E9/C9))</f>
        <v>-0.75556958473625135</v>
      </c>
      <c r="G9" t="str">
        <f t="shared" ref="G9:G30" si="3">IF($B9="","",IF(E9&gt;0,"Favorable","Unfavorable"))</f>
        <v>Unfavorable</v>
      </c>
    </row>
    <row r="10" spans="1:8" x14ac:dyDescent="0.25">
      <c r="A10" t="str">
        <f t="shared" si="0"/>
        <v>Revenue</v>
      </c>
      <c r="B10" t="str">
        <f>IFERROR(INDEX(c_RevenuePVM!$A$2:$A$75,MATCH(ROWS($B$8:B10),c_RevenuePVM!$N$2:$N$75,0)),"")</f>
        <v>construction_tools_construction</v>
      </c>
      <c r="C10" s="48">
        <f>IF($B10="","",SUMIFS(tbl_Budget[budget_revenue],tbl_Budget[category],$B10,tbl_Budget[month],i_Setup!$C$10))</f>
        <v>1203.5999999999999</v>
      </c>
      <c r="D10" s="48">
        <f>IF($B10="","",SUMIFS(tbl_Actuals[revenue],tbl_Actuals[category],$B10,tbl_Actuals[month],i_Setup!$C$10))</f>
        <v>22917.16</v>
      </c>
      <c r="E10" s="48">
        <f t="shared" si="1"/>
        <v>21713.56</v>
      </c>
      <c r="F10" s="47">
        <f t="shared" si="2"/>
        <v>18.040511797939516</v>
      </c>
      <c r="G10" t="str">
        <f t="shared" si="3"/>
        <v>Favorable</v>
      </c>
    </row>
    <row r="11" spans="1:8" x14ac:dyDescent="0.25">
      <c r="A11" t="str">
        <f t="shared" si="0"/>
        <v>Revenue</v>
      </c>
      <c r="B11" t="str">
        <f>IFERROR(INDEX(c_RevenuePVM!$A$2:$A$75,MATCH(ROWS($B$8:B11),c_RevenuePVM!$N$2:$N$75,0)),"")</f>
        <v>construction_tools_lights</v>
      </c>
      <c r="C11" s="48">
        <f>IF($B11="","",SUMIFS(tbl_Budget[budget_revenue],tbl_Budget[category],$B11,tbl_Budget[month],i_Setup!$C$10))</f>
        <v>600.78</v>
      </c>
      <c r="D11" s="48">
        <f>IF($B11="","",SUMIFS(tbl_Actuals[revenue],tbl_Actuals[category],$B11,tbl_Actuals[month],i_Setup!$C$10))</f>
        <v>8212.5300000000007</v>
      </c>
      <c r="E11" s="48">
        <f t="shared" si="1"/>
        <v>7611.7500000000009</v>
      </c>
      <c r="F11" s="47">
        <f t="shared" si="2"/>
        <v>12.669779286926998</v>
      </c>
      <c r="G11" t="str">
        <f t="shared" si="3"/>
        <v>Favorable</v>
      </c>
    </row>
    <row r="12" spans="1:8" x14ac:dyDescent="0.25">
      <c r="A12" t="str">
        <f t="shared" si="0"/>
        <v>Revenue</v>
      </c>
      <c r="B12" t="str">
        <f>IFERROR(INDEX(c_RevenuePVM!$A$2:$A$75,MATCH(ROWS($B$8:B12),c_RevenuePVM!$N$2:$N$75,0)),"")</f>
        <v>cool_stuff</v>
      </c>
      <c r="C12" s="48">
        <f>IF($B12="","",SUMIFS(tbl_Budget[budget_revenue],tbl_Budget[category],$B12,tbl_Budget[month],i_Setup!$C$10))</f>
        <v>40177.735500000003</v>
      </c>
      <c r="D12" s="48">
        <f>IF($B12="","",SUMIFS(tbl_Actuals[revenue],tbl_Actuals[category],$B12,tbl_Actuals[month],i_Setup!$C$10))</f>
        <v>15794.89</v>
      </c>
      <c r="E12" s="48">
        <f t="shared" si="1"/>
        <v>-24382.845500000003</v>
      </c>
      <c r="F12" s="47">
        <f t="shared" si="2"/>
        <v>-0.60687455867192919</v>
      </c>
      <c r="G12" t="str">
        <f t="shared" si="3"/>
        <v>Unfavorable</v>
      </c>
    </row>
    <row r="13" spans="1:8" x14ac:dyDescent="0.25">
      <c r="A13" t="str">
        <f t="shared" si="0"/>
        <v>Revenue</v>
      </c>
      <c r="B13" t="str">
        <f>IFERROR(INDEX(c_RevenuePVM!$A$2:$A$75,MATCH(ROWS($B$8:B13),c_RevenuePVM!$N$2:$N$75,0)),"")</f>
        <v>electronics</v>
      </c>
      <c r="C13" s="48">
        <f>IF($B13="","",SUMIFS(tbl_Budget[budget_revenue],tbl_Budget[category],$B13,tbl_Budget[month],i_Setup!$C$10))</f>
        <v>3139.5650000000005</v>
      </c>
      <c r="D13" s="48">
        <f>IF($B13="","",SUMIFS(tbl_Actuals[revenue],tbl_Actuals[category],$B13,tbl_Actuals[month],i_Setup!$C$10))</f>
        <v>10739.57</v>
      </c>
      <c r="E13" s="48">
        <f t="shared" si="1"/>
        <v>7600.0049999999992</v>
      </c>
      <c r="F13" s="47">
        <f t="shared" si="2"/>
        <v>2.4207191123611067</v>
      </c>
      <c r="G13" t="str">
        <f t="shared" si="3"/>
        <v>Favorable</v>
      </c>
    </row>
    <row r="14" spans="1:8" x14ac:dyDescent="0.25">
      <c r="A14" t="str">
        <f t="shared" si="0"/>
        <v>Revenue</v>
      </c>
      <c r="B14" t="str">
        <f>IFERROR(INDEX(c_RevenuePVM!$A$2:$A$75,MATCH(ROWS($B$8:B14),c_RevenuePVM!$N$2:$N$75,0)),"")</f>
        <v>food</v>
      </c>
      <c r="C14" s="48">
        <f>IF($B14="","",SUMIFS(tbl_Budget[budget_revenue],tbl_Budget[category],$B14,tbl_Budget[month],i_Setup!$C$10))</f>
        <v>382.72500000000002</v>
      </c>
      <c r="D14" s="48">
        <f>IF($B14="","",SUMIFS(tbl_Actuals[revenue],tbl_Actuals[category],$B14,tbl_Actuals[month],i_Setup!$C$10))</f>
        <v>8174.18</v>
      </c>
      <c r="E14" s="48">
        <f t="shared" si="1"/>
        <v>7791.4549999999999</v>
      </c>
      <c r="F14" s="47">
        <f t="shared" si="2"/>
        <v>20.357841792409694</v>
      </c>
      <c r="G14" t="str">
        <f t="shared" si="3"/>
        <v>Favorable</v>
      </c>
    </row>
    <row r="15" spans="1:8" x14ac:dyDescent="0.25">
      <c r="A15" t="str">
        <f t="shared" si="0"/>
        <v>Revenue</v>
      </c>
      <c r="B15" t="str">
        <f>IFERROR(INDEX(c_RevenuePVM!$A$2:$A$75,MATCH(ROWS($B$8:B15),c_RevenuePVM!$N$2:$N$75,0)),"")</f>
        <v>furniture_decor</v>
      </c>
      <c r="C15" s="48">
        <f>IF($B15="","",SUMIFS(tbl_Budget[budget_revenue],tbl_Budget[category],$B15,tbl_Budget[month],i_Setup!$C$10))</f>
        <v>34267.807800000002</v>
      </c>
      <c r="D15" s="48">
        <f>IF($B15="","",SUMIFS(tbl_Actuals[revenue],tbl_Actuals[category],$B15,tbl_Actuals[month],i_Setup!$C$10))</f>
        <v>41168.550000000003</v>
      </c>
      <c r="E15" s="48">
        <f t="shared" si="1"/>
        <v>6900.7422000000006</v>
      </c>
      <c r="F15" s="47">
        <f t="shared" si="2"/>
        <v>0.20137682107578531</v>
      </c>
      <c r="G15" t="str">
        <f t="shared" si="3"/>
        <v>Favorable</v>
      </c>
    </row>
    <row r="16" spans="1:8" x14ac:dyDescent="0.25">
      <c r="A16" t="str">
        <f t="shared" si="0"/>
        <v>Revenue</v>
      </c>
      <c r="B16" t="str">
        <f>IFERROR(INDEX(c_RevenuePVM!$A$2:$A$75,MATCH(ROWS($B$8:B16),c_RevenuePVM!$N$2:$N$75,0)),"")</f>
        <v>garden_tools</v>
      </c>
      <c r="C16" s="48">
        <f>IF($B16="","",SUMIFS(tbl_Budget[budget_revenue],tbl_Budget[category],$B16,tbl_Budget[month],i_Setup!$C$10))</f>
        <v>23379.348600000001</v>
      </c>
      <c r="D16" s="48">
        <f>IF($B16="","",SUMIFS(tbl_Actuals[revenue],tbl_Actuals[category],$B16,tbl_Actuals[month],i_Setup!$C$10))</f>
        <v>16314.7</v>
      </c>
      <c r="E16" s="48">
        <f t="shared" si="1"/>
        <v>-7064.6486000000004</v>
      </c>
      <c r="F16" s="47">
        <f t="shared" si="2"/>
        <v>-0.30217474065979749</v>
      </c>
      <c r="G16" t="str">
        <f t="shared" si="3"/>
        <v>Unfavorable</v>
      </c>
    </row>
    <row r="17" spans="1:7" x14ac:dyDescent="0.25">
      <c r="A17" t="str">
        <f t="shared" si="0"/>
        <v>Revenue</v>
      </c>
      <c r="B17" t="str">
        <f>IFERROR(INDEX(c_RevenuePVM!$A$2:$A$75,MATCH(ROWS($B$8:B17),c_RevenuePVM!$N$2:$N$75,0)),"")</f>
        <v>health_beauty</v>
      </c>
      <c r="C17" s="48">
        <f>IF($B17="","",SUMIFS(tbl_Budget[budget_revenue],tbl_Budget[category],$B17,tbl_Budget[month],i_Setup!$C$10))</f>
        <v>51481.741500000004</v>
      </c>
      <c r="D17" s="48">
        <f>IF($B17="","",SUMIFS(tbl_Actuals[revenue],tbl_Actuals[category],$B17,tbl_Actuals[month],i_Setup!$C$10))</f>
        <v>119391.01</v>
      </c>
      <c r="E17" s="48">
        <f t="shared" si="1"/>
        <v>67909.268499999991</v>
      </c>
      <c r="F17" s="47">
        <f t="shared" si="2"/>
        <v>1.3190942365459799</v>
      </c>
      <c r="G17" t="str">
        <f t="shared" si="3"/>
        <v>Favorable</v>
      </c>
    </row>
    <row r="18" spans="1:7" x14ac:dyDescent="0.25">
      <c r="A18" t="str">
        <f t="shared" si="0"/>
        <v>Revenue</v>
      </c>
      <c r="B18" t="str">
        <f>IFERROR(INDEX(c_RevenuePVM!$A$2:$A$75,MATCH(ROWS($B$8:B18),c_RevenuePVM!$N$2:$N$75,0)),"")</f>
        <v>home_construction</v>
      </c>
      <c r="C18" s="48">
        <f>IF($B18="","",SUMIFS(tbl_Budget[budget_revenue],tbl_Budget[category],$B18,tbl_Budget[month],i_Setup!$C$10))</f>
        <v>127.29599999999999</v>
      </c>
      <c r="D18" s="48">
        <f>IF($B18="","",SUMIFS(tbl_Actuals[revenue],tbl_Actuals[category],$B18,tbl_Actuals[month],i_Setup!$C$10))</f>
        <v>6286.16</v>
      </c>
      <c r="E18" s="48">
        <f t="shared" si="1"/>
        <v>6158.8639999999996</v>
      </c>
      <c r="F18" s="47">
        <f t="shared" si="2"/>
        <v>48.382227249874312</v>
      </c>
      <c r="G18" t="str">
        <f t="shared" si="3"/>
        <v>Favorable</v>
      </c>
    </row>
    <row r="19" spans="1:7" x14ac:dyDescent="0.25">
      <c r="A19" t="str">
        <f t="shared" si="0"/>
        <v>Revenue</v>
      </c>
      <c r="B19" t="str">
        <f>IFERROR(INDEX(c_RevenuePVM!$A$2:$A$75,MATCH(ROWS($B$8:B19),c_RevenuePVM!$N$2:$N$75,0)),"")</f>
        <v>housewares</v>
      </c>
      <c r="C19" s="48">
        <f>IF($B19="","",SUMIFS(tbl_Budget[budget_revenue],tbl_Budget[category],$B19,tbl_Budget[month],i_Setup!$C$10))</f>
        <v>23896.396800000002</v>
      </c>
      <c r="D19" s="48">
        <f>IF($B19="","",SUMIFS(tbl_Actuals[revenue],tbl_Actuals[category],$B19,tbl_Actuals[month],i_Setup!$C$10))</f>
        <v>58763.360000000001</v>
      </c>
      <c r="E19" s="48">
        <f t="shared" si="1"/>
        <v>34866.963199999998</v>
      </c>
      <c r="F19" s="47">
        <f t="shared" si="2"/>
        <v>1.4590887275524314</v>
      </c>
      <c r="G19" t="str">
        <f t="shared" si="3"/>
        <v>Favorable</v>
      </c>
    </row>
    <row r="20" spans="1:7" x14ac:dyDescent="0.25">
      <c r="A20" t="str">
        <f t="shared" si="0"/>
        <v>Revenue</v>
      </c>
      <c r="B20" t="str">
        <f>IFERROR(INDEX(c_RevenuePVM!$A$2:$A$75,MATCH(ROWS($B$8:B20),c_RevenuePVM!$N$2:$N$75,0)),"")</f>
        <v>perfumery</v>
      </c>
      <c r="C20" s="48">
        <f>IF($B20="","",SUMIFS(tbl_Budget[budget_revenue],tbl_Budget[category],$B20,tbl_Budget[month],i_Setup!$C$10))</f>
        <v>13739.355000000001</v>
      </c>
      <c r="D20" s="48">
        <f>IF($B20="","",SUMIFS(tbl_Actuals[revenue],tbl_Actuals[category],$B20,tbl_Actuals[month],i_Setup!$C$10))</f>
        <v>24839.74</v>
      </c>
      <c r="E20" s="48">
        <f t="shared" si="1"/>
        <v>11100.385</v>
      </c>
      <c r="F20" s="47">
        <f t="shared" si="2"/>
        <v>0.80792620905420953</v>
      </c>
      <c r="G20" t="str">
        <f t="shared" si="3"/>
        <v>Favorable</v>
      </c>
    </row>
    <row r="21" spans="1:7" x14ac:dyDescent="0.25">
      <c r="A21" t="str">
        <f t="shared" si="0"/>
        <v>Revenue</v>
      </c>
      <c r="B21" t="str">
        <f>IFERROR(INDEX(c_RevenuePVM!$A$2:$A$75,MATCH(ROWS($B$8:B21),c_RevenuePVM!$N$2:$N$75,0)),"")</f>
        <v>pet_shop</v>
      </c>
      <c r="C21" s="48">
        <f>IF($B21="","",SUMIFS(tbl_Budget[budget_revenue],tbl_Budget[category],$B21,tbl_Budget[month],i_Setup!$C$10))</f>
        <v>10947.079500000002</v>
      </c>
      <c r="D21" s="48">
        <f>IF($B21="","",SUMIFS(tbl_Actuals[revenue],tbl_Actuals[category],$B21,tbl_Actuals[month],i_Setup!$C$10))</f>
        <v>24608.07</v>
      </c>
      <c r="E21" s="48">
        <f t="shared" si="1"/>
        <v>13660.990499999998</v>
      </c>
      <c r="F21" s="47">
        <f t="shared" si="2"/>
        <v>1.2479118745780549</v>
      </c>
      <c r="G21" t="str">
        <f t="shared" si="3"/>
        <v>Favorable</v>
      </c>
    </row>
    <row r="22" spans="1:7" x14ac:dyDescent="0.25">
      <c r="A22" t="str">
        <f t="shared" si="0"/>
        <v>Revenue</v>
      </c>
      <c r="B22" t="str">
        <f>IFERROR(INDEX(c_RevenuePVM!$A$2:$A$75,MATCH(ROWS($B$8:B22),c_RevenuePVM!$N$2:$N$75,0)),"")</f>
        <v>sports_leisure</v>
      </c>
      <c r="C22" s="48">
        <f>IF($B22="","",SUMIFS(tbl_Budget[budget_revenue],tbl_Budget[category],$B22,tbl_Budget[month],i_Setup!$C$10))</f>
        <v>42656.008499999996</v>
      </c>
      <c r="D22" s="48">
        <f>IF($B22="","",SUMIFS(tbl_Actuals[revenue],tbl_Actuals[category],$B22,tbl_Actuals[month],i_Setup!$C$10))</f>
        <v>50860.18</v>
      </c>
      <c r="E22" s="48">
        <f t="shared" si="1"/>
        <v>8204.171500000004</v>
      </c>
      <c r="F22" s="47">
        <f t="shared" si="2"/>
        <v>0.19233331454348349</v>
      </c>
      <c r="G22" t="str">
        <f t="shared" si="3"/>
        <v>Favorable</v>
      </c>
    </row>
    <row r="23" spans="1:7" x14ac:dyDescent="0.25">
      <c r="A23" t="str">
        <f t="shared" si="0"/>
        <v>Revenue</v>
      </c>
      <c r="B23" t="str">
        <f>IFERROR(INDEX(c_RevenuePVM!$A$2:$A$75,MATCH(ROWS($B$8:B23),c_RevenuePVM!$N$2:$N$75,0)),"")</f>
        <v>stationery</v>
      </c>
      <c r="C23" s="48">
        <f>IF($B23="","",SUMIFS(tbl_Budget[budget_revenue],tbl_Budget[category],$B23,tbl_Budget[month],i_Setup!$C$10))</f>
        <v>6685.2555000000002</v>
      </c>
      <c r="D23" s="48">
        <f>IF($B23="","",SUMIFS(tbl_Actuals[revenue],tbl_Actuals[category],$B23,tbl_Actuals[month],i_Setup!$C$10))</f>
        <v>15445.65</v>
      </c>
      <c r="E23" s="48">
        <f t="shared" si="1"/>
        <v>8760.3944999999985</v>
      </c>
      <c r="F23" s="47">
        <f t="shared" si="2"/>
        <v>1.3104053390330404</v>
      </c>
      <c r="G23" t="str">
        <f t="shared" si="3"/>
        <v>Favorable</v>
      </c>
    </row>
    <row r="24" spans="1:7" x14ac:dyDescent="0.25">
      <c r="A24" t="str">
        <f t="shared" si="0"/>
        <v>Revenue</v>
      </c>
      <c r="B24" t="str">
        <f>IFERROR(INDEX(c_RevenuePVM!$A$2:$A$75,MATCH(ROWS($B$8:B24),c_RevenuePVM!$N$2:$N$75,0)),"")</f>
        <v>telephony</v>
      </c>
      <c r="C24" s="48">
        <f>IF($B24="","",SUMIFS(tbl_Budget[budget_revenue],tbl_Budget[category],$B24,tbl_Budget[month],i_Setup!$C$10))</f>
        <v>11080.9755</v>
      </c>
      <c r="D24" s="48">
        <f>IF($B24="","",SUMIFS(tbl_Actuals[revenue],tbl_Actuals[category],$B24,tbl_Actuals[month],i_Setup!$C$10))</f>
        <v>36572.910000000003</v>
      </c>
      <c r="E24" s="48">
        <f t="shared" si="1"/>
        <v>25491.934500000003</v>
      </c>
      <c r="F24" s="47">
        <f t="shared" si="2"/>
        <v>2.3005135694055094</v>
      </c>
      <c r="G24" t="str">
        <f t="shared" si="3"/>
        <v>Favorable</v>
      </c>
    </row>
    <row r="25" spans="1:7" x14ac:dyDescent="0.25">
      <c r="A25" t="str">
        <f t="shared" si="0"/>
        <v>Revenue</v>
      </c>
      <c r="B25" t="str">
        <f>IFERROR(INDEX(c_RevenuePVM!$A$2:$A$75,MATCH(ROWS($B$8:B25),c_RevenuePVM!$N$2:$N$75,0)),"")</f>
        <v>watches_gifts</v>
      </c>
      <c r="C25" s="48">
        <f>IF($B25="","",SUMIFS(tbl_Budget[budget_revenue],tbl_Budget[category],$B25,tbl_Budget[month],i_Setup!$C$10))</f>
        <v>37979.497499999998</v>
      </c>
      <c r="D25" s="48">
        <f>IF($B25="","",SUMIFS(tbl_Actuals[revenue],tbl_Actuals[category],$B25,tbl_Actuals[month],i_Setup!$C$10))</f>
        <v>69767.06</v>
      </c>
      <c r="E25" s="48">
        <f t="shared" si="1"/>
        <v>31787.5625</v>
      </c>
      <c r="F25" s="47">
        <f t="shared" si="2"/>
        <v>0.83696637903121285</v>
      </c>
      <c r="G25" t="str">
        <f t="shared" si="3"/>
        <v>Favorable</v>
      </c>
    </row>
    <row r="26" spans="1:7" x14ac:dyDescent="0.25">
      <c r="A26" t="str">
        <f t="shared" si="0"/>
        <v/>
      </c>
      <c r="B26" t="str">
        <f>IFERROR(INDEX(c_RevenuePVM!$A$2:$A$75,MATCH(ROWS($B$8:B26),c_RevenuePVM!$N$2:$N$75,0)),"")</f>
        <v/>
      </c>
      <c r="C26" s="48" t="str">
        <f>IF($B26="","",SUMIFS(tbl_Budget[budget_revenue],tbl_Budget[category],$B26,tbl_Budget[month],i_Setup!$C$10))</f>
        <v/>
      </c>
      <c r="D26" s="48" t="str">
        <f>IF($B26="","",SUMIFS(tbl_Actuals[revenue],tbl_Actuals[category],$B26,tbl_Actuals[month],i_Setup!$C$10))</f>
        <v/>
      </c>
      <c r="E26" s="48" t="str">
        <f t="shared" si="1"/>
        <v/>
      </c>
      <c r="F26" s="47" t="str">
        <f t="shared" si="2"/>
        <v/>
      </c>
      <c r="G26" t="str">
        <f t="shared" si="3"/>
        <v/>
      </c>
    </row>
    <row r="27" spans="1:7" x14ac:dyDescent="0.25">
      <c r="A27" t="str">
        <f t="shared" si="0"/>
        <v/>
      </c>
      <c r="B27" t="str">
        <f>IFERROR(INDEX(c_RevenuePVM!$A$2:$A$75,MATCH(ROWS($B$8:B27),c_RevenuePVM!$N$2:$N$75,0)),"")</f>
        <v/>
      </c>
      <c r="C27" s="48" t="str">
        <f>IF($B27="","",SUMIFS(tbl_Budget[budget_revenue],tbl_Budget[category],$B27,tbl_Budget[month],i_Setup!$C$10))</f>
        <v/>
      </c>
      <c r="D27" s="48" t="str">
        <f>IF($B27="","",SUMIFS(tbl_Actuals[revenue],tbl_Actuals[category],$B27,tbl_Actuals[month],i_Setup!$C$10))</f>
        <v/>
      </c>
      <c r="E27" s="48" t="str">
        <f t="shared" si="1"/>
        <v/>
      </c>
      <c r="F27" s="47" t="str">
        <f t="shared" si="2"/>
        <v/>
      </c>
      <c r="G27" t="str">
        <f t="shared" si="3"/>
        <v/>
      </c>
    </row>
    <row r="28" spans="1:7" x14ac:dyDescent="0.25">
      <c r="A28" t="str">
        <f t="shared" si="0"/>
        <v/>
      </c>
      <c r="B28" t="str">
        <f>IFERROR(INDEX(c_RevenuePVM!$A$2:$A$75,MATCH(ROWS($B$8:B28),c_RevenuePVM!$N$2:$N$75,0)),"")</f>
        <v/>
      </c>
      <c r="C28" s="48" t="str">
        <f>IF($B28="","",SUMIFS(tbl_Budget[budget_revenue],tbl_Budget[category],$B28,tbl_Budget[month],i_Setup!$C$10))</f>
        <v/>
      </c>
      <c r="D28" s="48" t="str">
        <f>IF($B28="","",SUMIFS(tbl_Actuals[revenue],tbl_Actuals[category],$B28,tbl_Actuals[month],i_Setup!$C$10))</f>
        <v/>
      </c>
      <c r="E28" s="48" t="str">
        <f t="shared" si="1"/>
        <v/>
      </c>
      <c r="F28" s="47" t="str">
        <f t="shared" si="2"/>
        <v/>
      </c>
      <c r="G28" t="str">
        <f t="shared" si="3"/>
        <v/>
      </c>
    </row>
    <row r="29" spans="1:7" x14ac:dyDescent="0.25">
      <c r="A29" t="str">
        <f t="shared" si="0"/>
        <v/>
      </c>
      <c r="B29" t="str">
        <f>IFERROR(INDEX(c_RevenuePVM!$A$2:$A$75,MATCH(ROWS($B$8:B29),c_RevenuePVM!$N$2:$N$75,0)),"")</f>
        <v/>
      </c>
      <c r="C29" s="48" t="str">
        <f>IF($B29="","",SUMIFS(tbl_Budget[budget_revenue],tbl_Budget[category],$B29,tbl_Budget[month],i_Setup!$C$10))</f>
        <v/>
      </c>
      <c r="D29" s="48" t="str">
        <f>IF($B29="","",SUMIFS(tbl_Actuals[revenue],tbl_Actuals[category],$B29,tbl_Actuals[month],i_Setup!$C$10))</f>
        <v/>
      </c>
      <c r="E29" s="48" t="str">
        <f t="shared" si="1"/>
        <v/>
      </c>
      <c r="F29" s="47" t="str">
        <f t="shared" si="2"/>
        <v/>
      </c>
      <c r="G29" t="str">
        <f t="shared" si="3"/>
        <v/>
      </c>
    </row>
    <row r="30" spans="1:7" x14ac:dyDescent="0.25">
      <c r="A30" t="str">
        <f t="shared" si="0"/>
        <v/>
      </c>
      <c r="B30" t="str">
        <f>IFERROR(INDEX(c_RevenuePVM!$A$2:$A$75,MATCH(ROWS($B$8:B30),c_RevenuePVM!$N$2:$N$75,0)),"")</f>
        <v/>
      </c>
      <c r="C30" s="48" t="str">
        <f>IF($B30="","",SUMIFS(tbl_Budget[budget_revenue],tbl_Budget[category],$B30,tbl_Budget[month],i_Setup!$C$10))</f>
        <v/>
      </c>
      <c r="D30" s="48" t="str">
        <f>IF($B30="","",SUMIFS(tbl_Actuals[revenue],tbl_Actuals[category],$B30,tbl_Actuals[month],i_Setup!$C$10))</f>
        <v/>
      </c>
      <c r="E30" s="48" t="str">
        <f t="shared" si="1"/>
        <v/>
      </c>
      <c r="F30" s="47" t="str">
        <f t="shared" si="2"/>
        <v/>
      </c>
      <c r="G30" t="str">
        <f t="shared" si="3"/>
        <v/>
      </c>
    </row>
  </sheetData>
  <conditionalFormatting sqref="G4:G25">
    <cfRule type="cellIs" dxfId="23" priority="1" operator="equal">
      <formula>"Unfavorable"</formula>
    </cfRule>
    <cfRule type="cellIs" dxfId="22" priority="2" operator="equal">
      <formula>"Favorable"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608ECE-5327-416E-A304-A38CF5E33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i_Setup</vt:lpstr>
      <vt:lpstr>i_Actuals</vt:lpstr>
      <vt:lpstr>i_Budget</vt:lpstr>
      <vt:lpstr>i_OpexActuals</vt:lpstr>
      <vt:lpstr>c_RevenuePVM</vt:lpstr>
      <vt:lpstr>c_OpexFlux</vt:lpstr>
      <vt:lpstr>o_Dashboard</vt:lpstr>
      <vt:lpstr>o_VarianceBridge</vt:lpstr>
      <vt:lpstr>o_FluxCommentary</vt:lpstr>
      <vt:lpstr>CategoryMaster</vt:lpstr>
      <vt:lpstr>MonthList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2026-08-14T11:58:44Z</dcterms:created>
  <dcterms:modified xsi:type="dcterms:W3CDTF">2026-08-16T23:51:17Z</dcterms:modified>
</cp:coreProperties>
</file>